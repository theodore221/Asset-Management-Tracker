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xavier\Documents\Projects\KP Calculator\"/>
    </mc:Choice>
  </mc:AlternateContent>
  <bookViews>
    <workbookView xWindow="0" yWindow="0" windowWidth="19200" windowHeight="7050"/>
  </bookViews>
  <sheets>
    <sheet name="Classification" sheetId="1" r:id="rId1"/>
    <sheet name="Classification Ver 2" sheetId="5" r:id="rId2"/>
    <sheet name="Conversion" sheetId="2" r:id="rId3"/>
    <sheet name="Reference" sheetId="3" r:id="rId4"/>
    <sheet name="Definitions" sheetId="4" r:id="rId5"/>
  </sheets>
  <functionGroups builtInGroupCount="18"/>
  <definedNames>
    <definedName name="kp_code">'Classification Ver 2'!$E$6</definedName>
    <definedName name="part_description">'Classification Ver 2'!$E$16</definedName>
    <definedName name="part_material">'Classification Ver 2'!$K$8</definedName>
    <definedName name="part_name">'Classification Ver 2'!$E$8</definedName>
    <definedName name="part_nominal">'Classification Ver 2'!$E$12</definedName>
    <definedName name="part_plating">'Classification Ver 2'!$K$10</definedName>
    <definedName name="part_subclass1">'Classification Ver 2'!$K$12</definedName>
    <definedName name="part_subclass2">'Classification Ver 2'!$K$14</definedName>
    <definedName name="part_type">'Classification Ver 2'!$E$10</definedName>
    <definedName name="Z_979F862D_12BF_4A02_A971_1E66B13A5C0F_.wvu.Cols" localSheetId="3" hidden="1">Reference!$P:$T</definedName>
  </definedNames>
  <calcPr calcId="162913"/>
  <customWorkbookViews>
    <customWorkbookView name="Theodore Xavier - Personal View" guid="{979F862D-12BF-4A02-A971-1E66B13A5C0F}" mergeInterval="0" personalView="1" maximized="1" xWindow="-11" yWindow="-11" windowWidth="1942" windowHeight="1042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4" i="5" l="1"/>
  <c r="K14" i="5" s="1"/>
  <c r="M12" i="5"/>
  <c r="J12" i="5" s="1"/>
  <c r="M10" i="5"/>
  <c r="K10" i="5" s="1"/>
  <c r="M8" i="5"/>
  <c r="K8" i="5" s="1"/>
  <c r="H10" i="5"/>
  <c r="E12" i="5"/>
  <c r="H14" i="5"/>
  <c r="D14" i="5"/>
  <c r="E14" i="5" l="1"/>
  <c r="E10" i="5"/>
  <c r="E8" i="5"/>
  <c r="E16" i="5" s="1"/>
  <c r="K12" i="5"/>
  <c r="J14" i="5"/>
  <c r="C247" i="4"/>
  <c r="D246" i="4"/>
  <c r="C246" i="4"/>
  <c r="D245" i="4"/>
  <c r="C245" i="4"/>
  <c r="D244" i="4"/>
  <c r="C244" i="4"/>
  <c r="D243" i="4"/>
  <c r="C243" i="4"/>
  <c r="D242" i="4"/>
  <c r="C242" i="4"/>
  <c r="D241" i="4"/>
  <c r="C241" i="4"/>
  <c r="D240" i="4"/>
  <c r="C240" i="4"/>
  <c r="D239" i="4"/>
  <c r="C239" i="4"/>
  <c r="D238" i="4"/>
  <c r="C238" i="4"/>
  <c r="D237" i="4"/>
  <c r="C237" i="4"/>
  <c r="D236" i="4"/>
  <c r="C236" i="4"/>
  <c r="D235" i="4"/>
  <c r="C235" i="4"/>
  <c r="D234" i="4"/>
  <c r="C234" i="4"/>
  <c r="D233" i="4"/>
  <c r="C233" i="4"/>
  <c r="D232" i="4"/>
  <c r="C232" i="4"/>
  <c r="D231" i="4"/>
  <c r="C231" i="4"/>
  <c r="D230" i="4"/>
  <c r="C230" i="4"/>
  <c r="D229" i="4"/>
  <c r="C229" i="4"/>
  <c r="D228" i="4"/>
  <c r="C228" i="4"/>
  <c r="D227" i="4"/>
  <c r="C227" i="4"/>
  <c r="D226" i="4"/>
  <c r="C226" i="4"/>
  <c r="D225" i="4"/>
  <c r="C225" i="4"/>
  <c r="D224" i="4"/>
  <c r="C224" i="4"/>
  <c r="D223" i="4"/>
  <c r="C223" i="4"/>
  <c r="D222" i="4"/>
  <c r="C222" i="4"/>
  <c r="D221" i="4"/>
  <c r="C221" i="4"/>
  <c r="D220" i="4"/>
  <c r="C220" i="4"/>
  <c r="D219" i="4"/>
  <c r="C219" i="4"/>
  <c r="D218" i="4"/>
  <c r="C218" i="4"/>
  <c r="D217" i="4"/>
  <c r="C217" i="4"/>
  <c r="D216" i="4"/>
  <c r="C216" i="4"/>
  <c r="D215" i="4"/>
  <c r="C215" i="4"/>
  <c r="D214" i="4"/>
  <c r="C214" i="4"/>
  <c r="D213" i="4"/>
  <c r="C213" i="4"/>
  <c r="D212" i="4"/>
  <c r="C212" i="4"/>
  <c r="D211" i="4"/>
  <c r="C211" i="4"/>
  <c r="D210" i="4"/>
  <c r="C210" i="4"/>
  <c r="D209" i="4"/>
  <c r="C209" i="4"/>
  <c r="D208" i="4"/>
  <c r="C208" i="4"/>
  <c r="D207" i="4"/>
  <c r="C207" i="4"/>
  <c r="D206" i="4"/>
  <c r="C206" i="4"/>
  <c r="D205" i="4"/>
  <c r="C205" i="4"/>
  <c r="D204" i="4"/>
  <c r="C204" i="4"/>
  <c r="D203" i="4"/>
  <c r="C203" i="4"/>
  <c r="D202" i="4"/>
  <c r="C202" i="4"/>
  <c r="D201" i="4"/>
  <c r="C201" i="4"/>
  <c r="D200" i="4"/>
  <c r="C200" i="4"/>
  <c r="D199" i="4"/>
  <c r="C199" i="4"/>
  <c r="D198" i="4"/>
  <c r="C198" i="4"/>
  <c r="D197" i="4"/>
  <c r="C197" i="4"/>
  <c r="D196" i="4"/>
  <c r="C196" i="4"/>
  <c r="D195" i="4"/>
  <c r="C195" i="4"/>
  <c r="D194" i="4"/>
  <c r="C194" i="4"/>
  <c r="D193" i="4"/>
  <c r="C193" i="4"/>
  <c r="D192" i="4"/>
  <c r="C192" i="4"/>
  <c r="D191" i="4"/>
  <c r="C191" i="4"/>
  <c r="D190" i="4"/>
  <c r="C190" i="4"/>
  <c r="D189" i="4"/>
  <c r="C189" i="4"/>
  <c r="D188" i="4"/>
  <c r="C188" i="4"/>
  <c r="D187" i="4"/>
  <c r="C187" i="4"/>
  <c r="D186" i="4"/>
  <c r="C186" i="4"/>
  <c r="D185" i="4"/>
  <c r="C185" i="4"/>
  <c r="D184" i="4"/>
  <c r="C184" i="4"/>
  <c r="D183" i="4"/>
  <c r="C183" i="4"/>
  <c r="D182" i="4"/>
  <c r="C182" i="4"/>
  <c r="D181" i="4"/>
  <c r="C181" i="4"/>
  <c r="D180" i="4"/>
  <c r="C180" i="4"/>
  <c r="D179" i="4"/>
  <c r="C179" i="4"/>
  <c r="D178" i="4"/>
  <c r="C178" i="4"/>
  <c r="D177" i="4"/>
  <c r="C177" i="4"/>
  <c r="D176" i="4"/>
  <c r="C176" i="4"/>
  <c r="D175" i="4"/>
  <c r="C175" i="4"/>
  <c r="D174" i="4"/>
  <c r="C174" i="4"/>
  <c r="D173" i="4"/>
  <c r="C173" i="4"/>
  <c r="D172" i="4"/>
  <c r="C172" i="4"/>
  <c r="D171" i="4"/>
  <c r="C171" i="4"/>
  <c r="D170" i="4"/>
  <c r="C170" i="4"/>
  <c r="D169" i="4"/>
  <c r="C169" i="4"/>
  <c r="D168" i="4"/>
  <c r="C168" i="4"/>
  <c r="D167" i="4"/>
  <c r="C167" i="4"/>
  <c r="D166" i="4"/>
  <c r="C166" i="4"/>
  <c r="D165" i="4"/>
  <c r="C165" i="4"/>
  <c r="D164" i="4"/>
  <c r="C164" i="4"/>
  <c r="D163" i="4"/>
  <c r="C163" i="4"/>
  <c r="D162" i="4"/>
  <c r="C162" i="4"/>
  <c r="D161" i="4"/>
  <c r="C161" i="4"/>
  <c r="D160" i="4"/>
  <c r="C160" i="4"/>
  <c r="D159" i="4"/>
  <c r="C159" i="4"/>
  <c r="D158" i="4"/>
  <c r="C158" i="4"/>
  <c r="D157" i="4"/>
  <c r="C157" i="4"/>
  <c r="D156" i="4"/>
  <c r="C156" i="4"/>
  <c r="D155" i="4"/>
  <c r="C155" i="4"/>
  <c r="D154" i="4"/>
  <c r="C154" i="4"/>
  <c r="D153" i="4"/>
  <c r="C153" i="4"/>
  <c r="D152" i="4"/>
  <c r="C152" i="4"/>
  <c r="D151" i="4"/>
  <c r="C151" i="4"/>
  <c r="D150" i="4"/>
  <c r="C150" i="4"/>
  <c r="D149" i="4"/>
  <c r="C149" i="4"/>
  <c r="D148" i="4"/>
  <c r="C148" i="4"/>
  <c r="D147" i="4"/>
  <c r="C147" i="4"/>
  <c r="D146" i="4"/>
  <c r="C146" i="4"/>
  <c r="D145" i="4"/>
  <c r="C145" i="4"/>
  <c r="D144" i="4"/>
  <c r="C144" i="4"/>
  <c r="D143" i="4"/>
  <c r="C143" i="4"/>
  <c r="D142" i="4"/>
  <c r="C142" i="4"/>
  <c r="D141" i="4"/>
  <c r="C141" i="4"/>
  <c r="D140" i="4"/>
  <c r="C140" i="4"/>
  <c r="D139" i="4"/>
  <c r="C139" i="4"/>
  <c r="D138" i="4"/>
  <c r="C138" i="4"/>
  <c r="D137" i="4"/>
  <c r="C137" i="4"/>
  <c r="D136" i="4"/>
  <c r="C136" i="4"/>
  <c r="D135" i="4"/>
  <c r="C135" i="4"/>
  <c r="D134" i="4"/>
  <c r="C134" i="4"/>
  <c r="D133" i="4"/>
  <c r="C133" i="4"/>
  <c r="D132" i="4"/>
  <c r="C132" i="4"/>
  <c r="D131" i="4"/>
  <c r="C131" i="4"/>
  <c r="D130" i="4"/>
  <c r="C130" i="4"/>
  <c r="D129" i="4"/>
  <c r="C129" i="4"/>
  <c r="D128" i="4"/>
  <c r="C128" i="4"/>
  <c r="D127" i="4"/>
  <c r="C127" i="4"/>
  <c r="D126" i="4"/>
  <c r="C126" i="4"/>
  <c r="D125" i="4"/>
  <c r="C125" i="4"/>
  <c r="D124" i="4"/>
  <c r="C124" i="4"/>
  <c r="D123" i="4"/>
  <c r="C123" i="4"/>
  <c r="D122" i="4"/>
  <c r="C122" i="4"/>
  <c r="D121" i="4"/>
  <c r="C121" i="4"/>
  <c r="D120" i="4"/>
  <c r="C120" i="4"/>
  <c r="D119" i="4"/>
  <c r="C119" i="4"/>
  <c r="D118" i="4"/>
  <c r="C118" i="4"/>
  <c r="D117" i="4"/>
  <c r="C117" i="4"/>
  <c r="D116" i="4"/>
  <c r="C116" i="4"/>
  <c r="D115" i="4"/>
  <c r="C115" i="4"/>
  <c r="D114" i="4"/>
  <c r="C114" i="4"/>
  <c r="D113" i="4"/>
  <c r="C113" i="4"/>
  <c r="D112" i="4"/>
  <c r="C112" i="4"/>
  <c r="D111" i="4"/>
  <c r="C111" i="4"/>
  <c r="D110" i="4"/>
  <c r="C110" i="4"/>
  <c r="D109" i="4"/>
  <c r="C109" i="4"/>
  <c r="D108" i="4"/>
  <c r="C108" i="4"/>
  <c r="D107" i="4"/>
  <c r="C107" i="4"/>
  <c r="D106" i="4"/>
  <c r="C106" i="4"/>
  <c r="D105" i="4"/>
  <c r="C105" i="4"/>
  <c r="D104" i="4"/>
  <c r="C104" i="4"/>
  <c r="D103" i="4"/>
  <c r="C103" i="4"/>
  <c r="D102" i="4"/>
  <c r="C102" i="4"/>
  <c r="D101" i="4"/>
  <c r="C101" i="4"/>
  <c r="D100" i="4"/>
  <c r="C100" i="4"/>
  <c r="D99" i="4"/>
  <c r="C99" i="4"/>
  <c r="D98" i="4"/>
  <c r="C98" i="4"/>
  <c r="D97" i="4"/>
  <c r="C97" i="4"/>
  <c r="D96" i="4"/>
  <c r="C96" i="4"/>
  <c r="D95" i="4"/>
  <c r="C95" i="4"/>
  <c r="D94" i="4"/>
  <c r="C94" i="4"/>
  <c r="D93" i="4"/>
  <c r="C93" i="4"/>
  <c r="D92" i="4"/>
  <c r="C92" i="4"/>
  <c r="D91" i="4"/>
  <c r="C91" i="4"/>
  <c r="D90" i="4"/>
  <c r="C90" i="4"/>
  <c r="D89" i="4"/>
  <c r="C89" i="4"/>
  <c r="D88" i="4"/>
  <c r="C88" i="4"/>
  <c r="D87" i="4"/>
  <c r="C87" i="4"/>
  <c r="D86" i="4"/>
  <c r="C86" i="4"/>
  <c r="D85" i="4"/>
  <c r="C85" i="4"/>
  <c r="D84" i="4"/>
  <c r="C84" i="4"/>
  <c r="D83" i="4"/>
  <c r="C83" i="4"/>
  <c r="D82" i="4"/>
  <c r="C82" i="4"/>
  <c r="D81" i="4"/>
  <c r="C81" i="4"/>
  <c r="D80" i="4"/>
  <c r="C80" i="4"/>
  <c r="D79" i="4"/>
  <c r="C79" i="4"/>
  <c r="D78" i="4"/>
  <c r="C78" i="4"/>
  <c r="D77" i="4"/>
  <c r="C77" i="4"/>
  <c r="D76" i="4"/>
  <c r="C76" i="4"/>
  <c r="D75" i="4"/>
  <c r="C75" i="4"/>
  <c r="D74" i="4"/>
  <c r="C74" i="4"/>
  <c r="D73" i="4"/>
  <c r="C73" i="4"/>
  <c r="D72" i="4"/>
  <c r="C72" i="4"/>
  <c r="D71" i="4"/>
  <c r="C71" i="4"/>
  <c r="D70" i="4"/>
  <c r="C70" i="4"/>
  <c r="D69" i="4"/>
  <c r="C69" i="4"/>
  <c r="D68" i="4"/>
  <c r="C68" i="4"/>
  <c r="D67" i="4"/>
  <c r="C67" i="4"/>
  <c r="D66" i="4"/>
  <c r="C66" i="4"/>
  <c r="D65" i="4"/>
  <c r="C65" i="4"/>
  <c r="D64" i="4"/>
  <c r="C64" i="4"/>
  <c r="D63" i="4"/>
  <c r="C63" i="4"/>
  <c r="D62" i="4"/>
  <c r="C62" i="4"/>
  <c r="D61" i="4"/>
  <c r="C61" i="4"/>
  <c r="D60" i="4"/>
  <c r="C60" i="4"/>
  <c r="D59" i="4"/>
  <c r="C59" i="4"/>
  <c r="D58" i="4"/>
  <c r="C58" i="4"/>
  <c r="D57" i="4"/>
  <c r="C57" i="4"/>
  <c r="D56" i="4"/>
  <c r="C56" i="4"/>
  <c r="D55" i="4"/>
  <c r="C55" i="4"/>
  <c r="D54" i="4"/>
  <c r="C54" i="4"/>
  <c r="D53" i="4"/>
  <c r="C53" i="4"/>
  <c r="D52" i="4"/>
  <c r="C52" i="4"/>
  <c r="D51" i="4"/>
  <c r="C51" i="4"/>
  <c r="D50" i="4"/>
  <c r="C50" i="4"/>
  <c r="D49" i="4"/>
  <c r="C49" i="4"/>
  <c r="D48" i="4"/>
  <c r="C48" i="4"/>
  <c r="D47" i="4"/>
  <c r="C47" i="4"/>
  <c r="D46" i="4"/>
  <c r="C46" i="4"/>
  <c r="D45" i="4"/>
  <c r="C45" i="4"/>
  <c r="D44" i="4"/>
  <c r="C44" i="4"/>
  <c r="D43" i="4"/>
  <c r="C43" i="4"/>
  <c r="D42" i="4"/>
  <c r="C42" i="4"/>
  <c r="D41" i="4"/>
  <c r="C41" i="4"/>
  <c r="D40" i="4"/>
  <c r="C40" i="4"/>
  <c r="D39" i="4"/>
  <c r="C39" i="4"/>
  <c r="D38" i="4"/>
  <c r="C38" i="4"/>
  <c r="D37" i="4"/>
  <c r="C37" i="4"/>
  <c r="D36" i="4"/>
  <c r="C36" i="4"/>
  <c r="D35" i="4"/>
  <c r="C35" i="4"/>
  <c r="D34" i="4"/>
  <c r="C34" i="4"/>
  <c r="D33" i="4"/>
  <c r="C33" i="4"/>
  <c r="D32" i="4"/>
  <c r="C32" i="4"/>
  <c r="D31" i="4"/>
  <c r="C31" i="4"/>
  <c r="D30" i="4"/>
  <c r="C30" i="4"/>
  <c r="D29" i="4"/>
  <c r="C29" i="4"/>
  <c r="D28" i="4"/>
  <c r="C28" i="4"/>
  <c r="D27" i="4"/>
  <c r="C27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9" i="4"/>
  <c r="C19" i="4"/>
  <c r="D18" i="4"/>
  <c r="C18" i="4"/>
  <c r="D17" i="4"/>
  <c r="C17" i="4"/>
  <c r="D16" i="4"/>
  <c r="C16" i="4"/>
  <c r="D15" i="4"/>
  <c r="C15" i="4"/>
  <c r="D14" i="4"/>
  <c r="C14" i="4"/>
  <c r="D13" i="4"/>
  <c r="C13" i="4"/>
  <c r="D12" i="4"/>
  <c r="C12" i="4"/>
  <c r="D11" i="4"/>
  <c r="C11" i="4"/>
  <c r="D10" i="4"/>
  <c r="C10" i="4"/>
  <c r="D9" i="4"/>
  <c r="C9" i="4"/>
  <c r="D8" i="4"/>
  <c r="C8" i="4"/>
  <c r="D7" i="4"/>
  <c r="C7" i="4"/>
  <c r="D6" i="4"/>
  <c r="C6" i="4"/>
  <c r="D5" i="4"/>
  <c r="C5" i="4"/>
  <c r="D4" i="4"/>
  <c r="C4" i="4"/>
  <c r="D3" i="4"/>
  <c r="C3" i="4"/>
  <c r="M12" i="1"/>
  <c r="M10" i="1"/>
  <c r="K10" i="1" s="1"/>
  <c r="M8" i="1"/>
  <c r="K8" i="1" s="1"/>
  <c r="G6" i="2"/>
  <c r="M4" i="2"/>
  <c r="L4" i="2"/>
  <c r="K4" i="2"/>
  <c r="J4" i="2"/>
  <c r="M14" i="1"/>
  <c r="H10" i="1"/>
  <c r="E12" i="1"/>
  <c r="H14" i="1"/>
  <c r="E10" i="1" l="1"/>
  <c r="E8" i="1"/>
  <c r="J14" i="1"/>
  <c r="K14" i="1"/>
  <c r="K12" i="1"/>
  <c r="N4" i="2"/>
  <c r="P4" i="2" s="1"/>
  <c r="T7" i="3" s="1"/>
  <c r="O4" i="2"/>
  <c r="Q7" i="3"/>
  <c r="T6" i="3"/>
  <c r="S9" i="3"/>
  <c r="Q9" i="3"/>
  <c r="R6" i="3"/>
  <c r="E14" i="1"/>
  <c r="J12" i="1"/>
  <c r="D14" i="1"/>
  <c r="E16" i="1" l="1"/>
  <c r="R9" i="3"/>
  <c r="T8" i="3"/>
</calcChain>
</file>

<file path=xl/comments1.xml><?xml version="1.0" encoding="utf-8"?>
<comments xmlns="http://schemas.openxmlformats.org/spreadsheetml/2006/main">
  <authors>
    <author>Callum Oldfield</author>
  </authors>
  <commentList>
    <comment ref="B4" authorId="0" shapeId="0">
      <text>
        <r>
          <rPr>
            <b/>
            <sz val="9"/>
            <color indexed="81"/>
            <rFont val="Tahoma"/>
            <family val="2"/>
          </rPr>
          <t>TSD,TSA,TSP or KP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TSD,TSA, TSP or KP</t>
        </r>
      </text>
    </comment>
  </commentList>
</comments>
</file>

<file path=xl/sharedStrings.xml><?xml version="1.0" encoding="utf-8"?>
<sst xmlns="http://schemas.openxmlformats.org/spreadsheetml/2006/main" count="1184" uniqueCount="831">
  <si>
    <t>K1DW</t>
  </si>
  <si>
    <t>TSD</t>
  </si>
  <si>
    <t>KP</t>
  </si>
  <si>
    <t>ZZ231</t>
  </si>
  <si>
    <t>ZZ232</t>
  </si>
  <si>
    <t>ZZ236</t>
  </si>
  <si>
    <t>ZZ235</t>
  </si>
  <si>
    <t>ZZ233</t>
  </si>
  <si>
    <t>ZZ238</t>
  </si>
  <si>
    <t>ZZ239</t>
  </si>
  <si>
    <t>ZZ240</t>
  </si>
  <si>
    <t>ZZ241</t>
  </si>
  <si>
    <t>ZZ242</t>
  </si>
  <si>
    <t>ZZ243</t>
  </si>
  <si>
    <t>ZZ244</t>
  </si>
  <si>
    <t>ZZ245</t>
  </si>
  <si>
    <t>K1SW</t>
  </si>
  <si>
    <t>K1DF</t>
  </si>
  <si>
    <t>K0HH</t>
  </si>
  <si>
    <t>K0HW</t>
  </si>
  <si>
    <t>K0SH</t>
  </si>
  <si>
    <t>K0SW</t>
  </si>
  <si>
    <t>Material</t>
  </si>
  <si>
    <t>A</t>
  </si>
  <si>
    <t>B</t>
  </si>
  <si>
    <t>C</t>
  </si>
  <si>
    <t>D</t>
  </si>
  <si>
    <t>F</t>
  </si>
  <si>
    <t>G</t>
  </si>
  <si>
    <t>L</t>
  </si>
  <si>
    <t>B3</t>
  </si>
  <si>
    <t>B5</t>
  </si>
  <si>
    <t>H5</t>
  </si>
  <si>
    <t>H7</t>
  </si>
  <si>
    <t>RG</t>
  </si>
  <si>
    <t>N8</t>
  </si>
  <si>
    <t>R1</t>
  </si>
  <si>
    <t>H1</t>
  </si>
  <si>
    <t>SU</t>
  </si>
  <si>
    <t>T5</t>
  </si>
  <si>
    <t>-</t>
  </si>
  <si>
    <t>Reference</t>
  </si>
  <si>
    <t>Code Conversion Table</t>
  </si>
  <si>
    <t>TSA</t>
  </si>
  <si>
    <t>K001</t>
  </si>
  <si>
    <t>K002</t>
  </si>
  <si>
    <t>K003</t>
  </si>
  <si>
    <t>K004</t>
  </si>
  <si>
    <t>K005</t>
  </si>
  <si>
    <t>K006</t>
  </si>
  <si>
    <t>K007</t>
  </si>
  <si>
    <t>K008</t>
  </si>
  <si>
    <t>Generated Code type</t>
  </si>
  <si>
    <t>Original Code Type</t>
  </si>
  <si>
    <t>O\G</t>
  </si>
  <si>
    <t>O - Original</t>
  </si>
  <si>
    <t>G - Generated</t>
  </si>
  <si>
    <t>TSP</t>
  </si>
  <si>
    <t>S2N1</t>
  </si>
  <si>
    <t>S2N2</t>
  </si>
  <si>
    <t>S2N3</t>
  </si>
  <si>
    <t>S2W1</t>
  </si>
  <si>
    <t>K2HN</t>
  </si>
  <si>
    <t>K2CP</t>
  </si>
  <si>
    <t>K2CS</t>
  </si>
  <si>
    <t>K4CP</t>
  </si>
  <si>
    <t>Dim. 1</t>
  </si>
  <si>
    <t>Dim. 2</t>
  </si>
  <si>
    <t>U/M type</t>
  </si>
  <si>
    <t>KP - TSA U/M type</t>
  </si>
  <si>
    <t>TSA,TSP and KP</t>
  </si>
  <si>
    <t>TSA - KP U/M type</t>
  </si>
  <si>
    <t>Code</t>
  </si>
  <si>
    <t>Generated Code</t>
  </si>
  <si>
    <t>K006UH</t>
  </si>
  <si>
    <t>K008UH</t>
  </si>
  <si>
    <t>Identification</t>
  </si>
  <si>
    <t>K014</t>
  </si>
  <si>
    <t>P</t>
  </si>
  <si>
    <r>
      <rPr>
        <b/>
        <sz val="12"/>
        <color indexed="8"/>
        <rFont val="Arial"/>
        <family val="2"/>
      </rPr>
      <t>Spec#</t>
    </r>
    <r>
      <rPr>
        <b/>
        <sz val="11"/>
        <color indexed="8"/>
        <rFont val="Arial"/>
        <family val="2"/>
      </rPr>
      <t xml:space="preserve">
</t>
    </r>
    <r>
      <rPr>
        <b/>
        <sz val="10"/>
        <color indexed="8"/>
        <rFont val="Arial"/>
        <family val="2"/>
      </rPr>
      <t>(Initial Characters)</t>
    </r>
  </si>
  <si>
    <t>Part Name</t>
  </si>
  <si>
    <t>Flat Head Bolt</t>
  </si>
  <si>
    <t>Hexagon Head Adjust Screw</t>
  </si>
  <si>
    <t>K0HHF</t>
  </si>
  <si>
    <t>K0HHM</t>
  </si>
  <si>
    <t>K0HHMH</t>
  </si>
  <si>
    <t>K0HHTN</t>
  </si>
  <si>
    <t>Hexagon Head Bolt</t>
  </si>
  <si>
    <t>K0HHUH</t>
  </si>
  <si>
    <t>Hold Bolt</t>
  </si>
  <si>
    <t>K0HWMH</t>
  </si>
  <si>
    <t>Hexagon Head Bolt, Waisted</t>
  </si>
  <si>
    <t>K0HWTN</t>
  </si>
  <si>
    <t>K0HWUT</t>
  </si>
  <si>
    <t>Hexagon Socket Head Cap Screw</t>
  </si>
  <si>
    <t>K0SHM</t>
  </si>
  <si>
    <t>K0SHMH</t>
  </si>
  <si>
    <t>K0SHU</t>
  </si>
  <si>
    <t>K0SHUH</t>
  </si>
  <si>
    <t>K0SHUN</t>
  </si>
  <si>
    <t>K0SSTN</t>
  </si>
  <si>
    <t>Hexagon Slotted Head Cap Screw</t>
  </si>
  <si>
    <t>K0SSUT</t>
  </si>
  <si>
    <t>K0SWMH</t>
  </si>
  <si>
    <t>Hexagon Socket Head Bolt, Waisted</t>
  </si>
  <si>
    <t>K0SWTN</t>
  </si>
  <si>
    <t>K0SWUH</t>
  </si>
  <si>
    <t>K0SWUN</t>
  </si>
  <si>
    <t>K0SWUT</t>
  </si>
  <si>
    <t>K0WG</t>
  </si>
  <si>
    <t>Wing Bolt</t>
  </si>
  <si>
    <t>K1CTM</t>
  </si>
  <si>
    <t>Double End Stud</t>
  </si>
  <si>
    <t>K1DC</t>
  </si>
  <si>
    <t>K1DFM</t>
  </si>
  <si>
    <t>D. End Stud with Full Shank</t>
  </si>
  <si>
    <t>K1DFU</t>
  </si>
  <si>
    <t>D. End with Full Shank</t>
  </si>
  <si>
    <t>K1DR</t>
  </si>
  <si>
    <t>D.E. Stud for Rotor Coupling</t>
  </si>
  <si>
    <t>K1DS</t>
  </si>
  <si>
    <t>K1DWMH</t>
  </si>
  <si>
    <t>D.E. Stud with Waisted Shank</t>
  </si>
  <si>
    <t>K1DWUH</t>
  </si>
  <si>
    <t>K1DWUN</t>
  </si>
  <si>
    <t>K1ST</t>
  </si>
  <si>
    <t>Stud Bolt</t>
  </si>
  <si>
    <t>K1SWUH</t>
  </si>
  <si>
    <t>Stud with Waisted Shank</t>
  </si>
  <si>
    <t>K1SWUN</t>
  </si>
  <si>
    <t>K2CPNT</t>
  </si>
  <si>
    <t>Cap Nut</t>
  </si>
  <si>
    <t>K2CPUT</t>
  </si>
  <si>
    <t>K2CSTN</t>
  </si>
  <si>
    <t>Castle Nut</t>
  </si>
  <si>
    <t>K2CSTN***BOLT</t>
  </si>
  <si>
    <t>Castle Nut without slot</t>
  </si>
  <si>
    <t>K2CSTN***PIN</t>
  </si>
  <si>
    <t>K2CSUT</t>
  </si>
  <si>
    <t>K2CSUT***BOLT</t>
  </si>
  <si>
    <t>K2CSUT***PIN</t>
  </si>
  <si>
    <t>K2HL</t>
  </si>
  <si>
    <t>Self-Locking Nut</t>
  </si>
  <si>
    <t>K2HM</t>
  </si>
  <si>
    <t>Hex. Nut</t>
  </si>
  <si>
    <t>K2HV</t>
  </si>
  <si>
    <t>K2LN</t>
  </si>
  <si>
    <t>K2SH</t>
  </si>
  <si>
    <t>Slotted Hex. Nut</t>
  </si>
  <si>
    <t>K2WG</t>
  </si>
  <si>
    <t>Wing Nut</t>
  </si>
  <si>
    <t>K3CM</t>
  </si>
  <si>
    <t>Machine Screw</t>
  </si>
  <si>
    <t>K3HS</t>
  </si>
  <si>
    <t>K3PS</t>
  </si>
  <si>
    <t>Screw for Packing Ring</t>
  </si>
  <si>
    <t>K3SA</t>
  </si>
  <si>
    <t>Slotted Head Adjust Screw</t>
  </si>
  <si>
    <t>K3SE</t>
  </si>
  <si>
    <t>Slotted Extensive Head Screw</t>
  </si>
  <si>
    <t>K3SM</t>
  </si>
  <si>
    <t>K3SS</t>
  </si>
  <si>
    <t>K4CL</t>
  </si>
  <si>
    <t>Circular Lock Washer</t>
  </si>
  <si>
    <t>K4CPM</t>
  </si>
  <si>
    <t>Plane Washer</t>
  </si>
  <si>
    <t>K4CPU</t>
  </si>
  <si>
    <t>K4CPUH</t>
  </si>
  <si>
    <t>K4CS</t>
  </si>
  <si>
    <t>Conical Spring Washer</t>
  </si>
  <si>
    <t>K4QPM</t>
  </si>
  <si>
    <t>K4QT</t>
  </si>
  <si>
    <t>Square Taper Washer</t>
  </si>
  <si>
    <t>K4RL</t>
  </si>
  <si>
    <t>Rectangular Lock Washer</t>
  </si>
  <si>
    <t>Spring Washer</t>
  </si>
  <si>
    <t>K4SWU</t>
  </si>
  <si>
    <t>K5BP</t>
  </si>
  <si>
    <t>Bucket Blade Pin</t>
  </si>
  <si>
    <t>K5DP</t>
  </si>
  <si>
    <t>Dowel Pin</t>
  </si>
  <si>
    <t>K5DS</t>
  </si>
  <si>
    <t>Drive Screw</t>
  </si>
  <si>
    <t>K5PD</t>
  </si>
  <si>
    <t>Parallel Pin</t>
  </si>
  <si>
    <t>K5PK</t>
  </si>
  <si>
    <t>K5PP</t>
  </si>
  <si>
    <t>K</t>
  </si>
  <si>
    <t>K5PR</t>
  </si>
  <si>
    <t>K5RV</t>
  </si>
  <si>
    <t>Rivet</t>
  </si>
  <si>
    <t>K5SG</t>
  </si>
  <si>
    <t>Spring Pin</t>
  </si>
  <si>
    <t>K5SK</t>
  </si>
  <si>
    <t>Screwed Knock</t>
  </si>
  <si>
    <t>K5SP</t>
  </si>
  <si>
    <t>Split Pin</t>
  </si>
  <si>
    <t>K5TP</t>
  </si>
  <si>
    <t>Taper Pin</t>
  </si>
  <si>
    <t>K5TR</t>
  </si>
  <si>
    <t>K6BS</t>
  </si>
  <si>
    <t>Ins. Bushing</t>
  </si>
  <si>
    <t>K6HBM</t>
  </si>
  <si>
    <t>Ins. Hex Head Bolt</t>
  </si>
  <si>
    <t>K6PW</t>
  </si>
  <si>
    <t>Insulating Plain Washer</t>
  </si>
  <si>
    <t>K7CP</t>
  </si>
  <si>
    <t>Centering Pin</t>
  </si>
  <si>
    <t>K7CR</t>
  </si>
  <si>
    <t>Retaining Ring C Type</t>
  </si>
  <si>
    <t>K7NK</t>
  </si>
  <si>
    <t>Nozzle Key</t>
  </si>
  <si>
    <t>K8UB</t>
  </si>
  <si>
    <t>U Bolt</t>
  </si>
  <si>
    <t>K9ES</t>
  </si>
  <si>
    <t>Self Tapping Insert</t>
  </si>
  <si>
    <t>K9HH</t>
  </si>
  <si>
    <t>Bolt Blank Forged by Heading</t>
  </si>
  <si>
    <t>K9HS</t>
  </si>
  <si>
    <t>Heli-Sert</t>
  </si>
  <si>
    <t>K9RS</t>
  </si>
  <si>
    <t>Reamer Sleeve</t>
  </si>
  <si>
    <t>K9SH</t>
  </si>
  <si>
    <t>L0</t>
  </si>
  <si>
    <t>Steel Butt-Welding Pipe Fitting</t>
  </si>
  <si>
    <t>L1</t>
  </si>
  <si>
    <t>Steel Socket-Welding Pipe Fitting</t>
  </si>
  <si>
    <t>L2</t>
  </si>
  <si>
    <t>Screwed Type Malleable Cast 
Iron Pipe Fitting</t>
  </si>
  <si>
    <t>Screwed Type Steel Pipe Fitting</t>
  </si>
  <si>
    <t>Screwed Type Pipe Fitting</t>
  </si>
  <si>
    <t>L3CT</t>
  </si>
  <si>
    <t>Capillary Tube</t>
  </si>
  <si>
    <t>L3PO</t>
  </si>
  <si>
    <t>Plug with Orifice</t>
  </si>
  <si>
    <t>L3SC</t>
  </si>
  <si>
    <t>Screwed Type Steel Fitting</t>
  </si>
  <si>
    <t>L3SP</t>
  </si>
  <si>
    <t>Screw Plug</t>
  </si>
  <si>
    <t>L3UE</t>
  </si>
  <si>
    <t>Socket Union</t>
  </si>
  <si>
    <t>L3UN</t>
  </si>
  <si>
    <t>L3UO</t>
  </si>
  <si>
    <t>Union with Orifice</t>
  </si>
  <si>
    <t>L3UT</t>
  </si>
  <si>
    <t>L3WP</t>
  </si>
  <si>
    <t>Weld Plug</t>
  </si>
  <si>
    <t>L4</t>
  </si>
  <si>
    <t>Flared Coupling</t>
  </si>
  <si>
    <t>L5BFJ</t>
  </si>
  <si>
    <t>JIS Flange</t>
  </si>
  <si>
    <t>L5BFT</t>
  </si>
  <si>
    <t>ANSI Flange</t>
  </si>
  <si>
    <t>L5BRJ</t>
  </si>
  <si>
    <t>L5FH</t>
  </si>
  <si>
    <t>Flange for Hydrogen Gas</t>
  </si>
  <si>
    <t>L5HFJ</t>
  </si>
  <si>
    <t>L5HFT</t>
  </si>
  <si>
    <t>L5HRJ</t>
  </si>
  <si>
    <t>L5HRT</t>
  </si>
  <si>
    <t>L5NFJ</t>
  </si>
  <si>
    <t>L5NFT</t>
  </si>
  <si>
    <t>L5NRJ</t>
  </si>
  <si>
    <t>L5NRT</t>
  </si>
  <si>
    <t>L5PFJ</t>
  </si>
  <si>
    <t>L5PRJ</t>
  </si>
  <si>
    <t>L5QF</t>
  </si>
  <si>
    <t>21PMa Slip-on Welding Pipe 
Flange for Hydraulic Use</t>
  </si>
  <si>
    <t>L5SFT</t>
  </si>
  <si>
    <t>L5SRJ</t>
  </si>
  <si>
    <t>L5SRT</t>
  </si>
  <si>
    <t>L6SL</t>
  </si>
  <si>
    <t>Sleeve</t>
  </si>
  <si>
    <t>L6WB</t>
  </si>
  <si>
    <t>Weld Let</t>
  </si>
  <si>
    <t>L6WS</t>
  </si>
  <si>
    <t>L6WT</t>
  </si>
  <si>
    <t>L6WU</t>
  </si>
  <si>
    <t>L8</t>
  </si>
  <si>
    <t>Pipe Fitting for EHC</t>
  </si>
  <si>
    <t>M0GV</t>
  </si>
  <si>
    <t>Bronze Glove Valve</t>
  </si>
  <si>
    <t>M4RV</t>
  </si>
  <si>
    <t>Relief Valve</t>
  </si>
  <si>
    <t>M7AB</t>
  </si>
  <si>
    <t>Air Breather</t>
  </si>
  <si>
    <t>M9SN</t>
  </si>
  <si>
    <t>Spray Nozzle</t>
  </si>
  <si>
    <t>M9SS</t>
  </si>
  <si>
    <t>Forged Stem Stock for Steam Valve</t>
  </si>
  <si>
    <t>N1CL</t>
  </si>
  <si>
    <t>Clip</t>
  </si>
  <si>
    <t>N1CN</t>
  </si>
  <si>
    <t>Insulated Crimp-Style Connector</t>
  </si>
  <si>
    <t>N1CT</t>
  </si>
  <si>
    <t>Crimp-Style Terminal</t>
  </si>
  <si>
    <t>Insulated Crimp-Style Terminal</t>
  </si>
  <si>
    <t>N1ET</t>
  </si>
  <si>
    <t>Earth Terminal</t>
  </si>
  <si>
    <t>N1TB</t>
  </si>
  <si>
    <t>Terminal Block</t>
  </si>
  <si>
    <t>N2IB</t>
  </si>
  <si>
    <t>Ins. Bushing for Rigid Metal Conduit</t>
  </si>
  <si>
    <t>N2SD</t>
  </si>
  <si>
    <t>Saddle</t>
  </si>
  <si>
    <t>N5RC</t>
  </si>
  <si>
    <t>Receptacle</t>
  </si>
  <si>
    <t>N5VL</t>
  </si>
  <si>
    <t>Vibration Proof Lamp</t>
  </si>
  <si>
    <t>N6BH</t>
  </si>
  <si>
    <t>Bolt Heater</t>
  </si>
  <si>
    <t>N6SH</t>
  </si>
  <si>
    <t>Space Heater</t>
  </si>
  <si>
    <t>N8GA</t>
  </si>
  <si>
    <t>Hollow Porcelain</t>
  </si>
  <si>
    <t>N8PI</t>
  </si>
  <si>
    <t>Post Insulators</t>
  </si>
  <si>
    <t>N8RB</t>
  </si>
  <si>
    <t>Rubber Bushing</t>
  </si>
  <si>
    <t>P0PG</t>
  </si>
  <si>
    <t>Pressure Gauge</t>
  </si>
  <si>
    <t>Q0CS</t>
  </si>
  <si>
    <t>Coil Spring</t>
  </si>
  <si>
    <t>Q0LS</t>
  </si>
  <si>
    <t>L Type Plate Spring</t>
  </si>
  <si>
    <t>Q1BL</t>
  </si>
  <si>
    <t>Bellow</t>
  </si>
  <si>
    <t>Q1FG</t>
  </si>
  <si>
    <t>Pipe Flange Gasket</t>
  </si>
  <si>
    <t>Q1OR</t>
  </si>
  <si>
    <t>O Ring</t>
  </si>
  <si>
    <t>Q1OS</t>
  </si>
  <si>
    <t>Rotary Shaft Lip Type Seal</t>
  </si>
  <si>
    <t>Q1PR</t>
  </si>
  <si>
    <t>Piston Ring</t>
  </si>
  <si>
    <t>Q1SG</t>
  </si>
  <si>
    <t>Spiral-Wound Gasket for Pipe Flange</t>
  </si>
  <si>
    <t>Graphite Spiral-Wound Gasket</t>
  </si>
  <si>
    <t>Graphite Spiral-Wound Gasket 
for Steam Valve</t>
  </si>
  <si>
    <t>Q2HD</t>
  </si>
  <si>
    <t>Handwheel</t>
  </si>
  <si>
    <t>Q2HG</t>
  </si>
  <si>
    <t>Hinge</t>
  </si>
  <si>
    <t>Q2MP</t>
  </si>
  <si>
    <t>TOSHIBA Logotype Plate</t>
  </si>
  <si>
    <t>Q2NP</t>
  </si>
  <si>
    <t>Name Plate</t>
  </si>
  <si>
    <t>Q2OS</t>
  </si>
  <si>
    <t>Oil Sight Glass</t>
  </si>
  <si>
    <t>Q3EB</t>
  </si>
  <si>
    <t>Eyebolt</t>
  </si>
  <si>
    <t>Q3EN</t>
  </si>
  <si>
    <t>Eyenut</t>
  </si>
  <si>
    <t>Lug</t>
  </si>
  <si>
    <t>Q3LGD</t>
  </si>
  <si>
    <t>Q3LGU</t>
  </si>
  <si>
    <t>Q3SH</t>
  </si>
  <si>
    <t>Shackle</t>
  </si>
  <si>
    <t>Q3WR</t>
  </si>
  <si>
    <t>Wire Rope</t>
  </si>
  <si>
    <t>Q4AH</t>
  </si>
  <si>
    <t>Anchor for Hanger Support</t>
  </si>
  <si>
    <t>Q4CA</t>
  </si>
  <si>
    <t>Concrete Anchor</t>
  </si>
  <si>
    <t>Q4FL</t>
  </si>
  <si>
    <t>Foundation Bolt</t>
  </si>
  <si>
    <t>Q4GP</t>
  </si>
  <si>
    <t>Grout Pin</t>
  </si>
  <si>
    <t>Q5UB</t>
  </si>
  <si>
    <t>Uni Ball</t>
  </si>
  <si>
    <t>Q6CN</t>
  </si>
  <si>
    <t>Combination Needle Bearing</t>
  </si>
  <si>
    <t>Q6LW</t>
  </si>
  <si>
    <t>Lock Washer for Roller Bearing</t>
  </si>
  <si>
    <t>Q6RB</t>
  </si>
  <si>
    <t>Radial Ball Bearing</t>
  </si>
  <si>
    <t>Q6RN</t>
  </si>
  <si>
    <t>Radial Needle Roller Bearing</t>
  </si>
  <si>
    <t>Q6RR</t>
  </si>
  <si>
    <t>Radial Roller Bearing</t>
  </si>
  <si>
    <t>Q6TB</t>
  </si>
  <si>
    <t>Thrust Ball Bearing with Flat Seat</t>
  </si>
  <si>
    <t>Q6TR</t>
  </si>
  <si>
    <t>Thrust Roller Bearing</t>
  </si>
  <si>
    <t>Q8FO</t>
  </si>
  <si>
    <t>Flanged Orifice Strainer</t>
  </si>
  <si>
    <t>Q8GN</t>
  </si>
  <si>
    <t>Grease Nipple</t>
  </si>
  <si>
    <t>Q8OD</t>
  </si>
  <si>
    <t>Oil Dam</t>
  </si>
  <si>
    <t>Q8OS</t>
  </si>
  <si>
    <t>Orifice Strainer</t>
  </si>
  <si>
    <t>Q8SF</t>
  </si>
  <si>
    <t>Orifice Strainer for Oil Flushing</t>
  </si>
  <si>
    <t>Q8SS</t>
  </si>
  <si>
    <t>S0BW</t>
  </si>
  <si>
    <t>Balance Weight</t>
  </si>
  <si>
    <t>S0BWTGA</t>
  </si>
  <si>
    <t>S2AK</t>
  </si>
  <si>
    <t>Arm Key for Large Steam Turbine</t>
  </si>
  <si>
    <t>S2BP</t>
  </si>
  <si>
    <t>Blind Plate</t>
  </si>
  <si>
    <t>Blind Plug</t>
  </si>
  <si>
    <t>S2BR</t>
  </si>
  <si>
    <t>Backing Ring</t>
  </si>
  <si>
    <t>S2BS</t>
  </si>
  <si>
    <t>Set Pin for Bearing</t>
  </si>
  <si>
    <t>S2FB</t>
  </si>
  <si>
    <t>S2GB</t>
  </si>
  <si>
    <t>Guide Bar</t>
  </si>
  <si>
    <t>S2HG</t>
  </si>
  <si>
    <t>Heat Guard for Oil Deflector</t>
  </si>
  <si>
    <t>S2HH</t>
  </si>
  <si>
    <t>Heat Buffer Holder</t>
  </si>
  <si>
    <t>S2LB</t>
  </si>
  <si>
    <t>Lifting Boss</t>
  </si>
  <si>
    <t>S2LP</t>
  </si>
  <si>
    <t>Spill Strips</t>
  </si>
  <si>
    <t>S2NB</t>
  </si>
  <si>
    <t>Forged Nozzle Blades</t>
  </si>
  <si>
    <t>S2NP</t>
  </si>
  <si>
    <t>Nozzle Support Pin</t>
  </si>
  <si>
    <t>S2NS</t>
  </si>
  <si>
    <t>Nozzle Spacer Bar</t>
  </si>
  <si>
    <t>S2NW</t>
  </si>
  <si>
    <t>Nozzle Support Pin Set Screw</t>
  </si>
  <si>
    <t>S2PP</t>
  </si>
  <si>
    <t>Plate for Packing Ring</t>
  </si>
  <si>
    <t>S2PT</t>
  </si>
  <si>
    <t>Partition Plate for Hydraulic Test</t>
  </si>
  <si>
    <t>S2RK</t>
  </si>
  <si>
    <t>Round Type Gib Key</t>
  </si>
  <si>
    <t>S2SB</t>
  </si>
  <si>
    <t>Nozzle Support Bar</t>
  </si>
  <si>
    <t>S2SH</t>
  </si>
  <si>
    <t>Nozzle Shim</t>
  </si>
  <si>
    <t>S2SP</t>
  </si>
  <si>
    <t>Nozzle Shim Plate</t>
  </si>
  <si>
    <t>S2SS</t>
  </si>
  <si>
    <t>Spacer for Support Bar</t>
  </si>
  <si>
    <t>S2TH</t>
  </si>
  <si>
    <t>Thermo Couple Holder</t>
  </si>
  <si>
    <t>S2WL</t>
  </si>
  <si>
    <t>Thermo Well (Steam Turbine Use)</t>
  </si>
  <si>
    <t>(1-4)</t>
  </si>
  <si>
    <t>Revision: 03</t>
  </si>
  <si>
    <t>Material Code</t>
  </si>
  <si>
    <t>S25C-N</t>
  </si>
  <si>
    <t>SNB7-Q</t>
  </si>
  <si>
    <t>SCM435-Q</t>
  </si>
  <si>
    <t>K9A58A</t>
  </si>
  <si>
    <t>SUS403-Q</t>
  </si>
  <si>
    <t>K9A56E</t>
  </si>
  <si>
    <t>K62F55A</t>
  </si>
  <si>
    <t>RS</t>
  </si>
  <si>
    <t>K9A62A</t>
  </si>
  <si>
    <t>Material:</t>
  </si>
  <si>
    <t>Name:</t>
  </si>
  <si>
    <t>Flatpoint</t>
  </si>
  <si>
    <t>(5 - 7)</t>
  </si>
  <si>
    <t>K2HNF</t>
  </si>
  <si>
    <t>K2HNM</t>
  </si>
  <si>
    <t>K2HNMH</t>
  </si>
  <si>
    <t>K2HNTN</t>
  </si>
  <si>
    <t>K2HNUN</t>
  </si>
  <si>
    <t>K4SWM</t>
  </si>
  <si>
    <t>K4TWM</t>
  </si>
  <si>
    <t>K4TWW</t>
  </si>
  <si>
    <t>K8UBS</t>
  </si>
  <si>
    <t>L3SPS</t>
  </si>
  <si>
    <t>Q3LG</t>
  </si>
  <si>
    <t>L3UEM</t>
  </si>
  <si>
    <t>L3UNM</t>
  </si>
  <si>
    <t>L3UTM</t>
  </si>
  <si>
    <t>K2HNUT</t>
  </si>
  <si>
    <t>K2HNUH</t>
  </si>
  <si>
    <t>K2HNU</t>
  </si>
  <si>
    <t>Plating</t>
  </si>
  <si>
    <t>Z</t>
  </si>
  <si>
    <t>N</t>
  </si>
  <si>
    <t>Copper Plating</t>
  </si>
  <si>
    <t>Type</t>
  </si>
  <si>
    <t>K0FHM</t>
  </si>
  <si>
    <t>K0HAM</t>
  </si>
  <si>
    <t>Black oxide film</t>
  </si>
  <si>
    <t>K0HLM</t>
  </si>
  <si>
    <t>K0HVU</t>
  </si>
  <si>
    <t>K0HVF</t>
  </si>
  <si>
    <t>Extra</t>
  </si>
  <si>
    <t>K0SEM</t>
  </si>
  <si>
    <t>K0SPM</t>
  </si>
  <si>
    <t>Nickel</t>
  </si>
  <si>
    <t>Zinc</t>
  </si>
  <si>
    <t>Copper</t>
  </si>
  <si>
    <t>SC</t>
  </si>
  <si>
    <t xml:space="preserve">Hexagon Head Bolt </t>
  </si>
  <si>
    <t>A2</t>
  </si>
  <si>
    <t>SS400</t>
  </si>
  <si>
    <t>S45C-N</t>
  </si>
  <si>
    <t>N1</t>
  </si>
  <si>
    <t>SUS304</t>
  </si>
  <si>
    <t>N2</t>
  </si>
  <si>
    <t>SUS316</t>
  </si>
  <si>
    <t>NF</t>
  </si>
  <si>
    <t>SUS630H1075</t>
  </si>
  <si>
    <t>SJ</t>
  </si>
  <si>
    <t>Metric (mm)</t>
  </si>
  <si>
    <t>B4</t>
  </si>
  <si>
    <t>S35CN</t>
  </si>
  <si>
    <t>K5P51</t>
  </si>
  <si>
    <t>Reference Table</t>
  </si>
  <si>
    <t>Description</t>
  </si>
  <si>
    <t>Shape of screw end</t>
  </si>
  <si>
    <t>Flat point</t>
  </si>
  <si>
    <t>R</t>
  </si>
  <si>
    <t>Round Point</t>
  </si>
  <si>
    <t>Table 1</t>
  </si>
  <si>
    <t>Table 2</t>
  </si>
  <si>
    <t>Fine pitch thread (in)</t>
  </si>
  <si>
    <t>course thread (in)</t>
  </si>
  <si>
    <t>Hexagon Head Bolt (high load)</t>
  </si>
  <si>
    <t>W</t>
  </si>
  <si>
    <t>With seat</t>
  </si>
  <si>
    <t>Profile of head</t>
  </si>
  <si>
    <t>flange</t>
  </si>
  <si>
    <t xml:space="preserve">chamfered </t>
  </si>
  <si>
    <t>Shape of Head</t>
  </si>
  <si>
    <t>chamfered tip</t>
  </si>
  <si>
    <t>dogpoint</t>
  </si>
  <si>
    <t>as-rolled end</t>
  </si>
  <si>
    <t>Shape of Tip</t>
  </si>
  <si>
    <t>MH thread (mm)</t>
  </si>
  <si>
    <t>UH thread (in)</t>
  </si>
  <si>
    <t>UT thread (in)</t>
  </si>
  <si>
    <t>SUSXM7</t>
  </si>
  <si>
    <t>Tapered (mm)</t>
  </si>
  <si>
    <t>Unified threads (in)</t>
  </si>
  <si>
    <t>Hexagon Socket Head Cap Screw (heat resistant)</t>
  </si>
  <si>
    <t>UH threads (in)</t>
  </si>
  <si>
    <t>unified (in)</t>
  </si>
  <si>
    <t>Hexagon Socket Bolt</t>
  </si>
  <si>
    <t>Screw stock (Full screw)</t>
  </si>
  <si>
    <t>D.E. Stud with Waisted Shank (heat resistant)</t>
  </si>
  <si>
    <t>Hexagon Socket Head Bolt, Waisted (heat resistant)</t>
  </si>
  <si>
    <t>MH heat resistant thread (mm)</t>
  </si>
  <si>
    <t>UH heat resistant thread (in)</t>
  </si>
  <si>
    <t xml:space="preserve"> </t>
  </si>
  <si>
    <t>K0HHU</t>
  </si>
  <si>
    <t>Hexagon Stripper Bolt</t>
  </si>
  <si>
    <t>Metric threads (mm)</t>
  </si>
  <si>
    <t xml:space="preserve">Tapered (mm) </t>
  </si>
  <si>
    <t>K1DRUH</t>
  </si>
  <si>
    <t>K1DSM</t>
  </si>
  <si>
    <t>unfied (in)</t>
  </si>
  <si>
    <t>K1DSU</t>
  </si>
  <si>
    <t>K1STM</t>
  </si>
  <si>
    <t>Unified (in)</t>
  </si>
  <si>
    <t>unified national (in)</t>
  </si>
  <si>
    <t>Unified national threads (in)</t>
  </si>
  <si>
    <t xml:space="preserve">National Tapered </t>
  </si>
  <si>
    <t>Hard Lock Nut</t>
  </si>
  <si>
    <t>Hex. Nut (Machine screw)</t>
  </si>
  <si>
    <t>Hex. Nut (Heavy Load)</t>
  </si>
  <si>
    <t>Unified fine pitch (in)</t>
  </si>
  <si>
    <t>MH heat resistant (mm)</t>
  </si>
  <si>
    <t>Description:</t>
  </si>
  <si>
    <t>K2SHM</t>
  </si>
  <si>
    <t>Class 1 high type</t>
  </si>
  <si>
    <t>Class 2 high type</t>
  </si>
  <si>
    <t>Class 1 low type</t>
  </si>
  <si>
    <t>Shape Classification</t>
  </si>
  <si>
    <t>Shape classification</t>
  </si>
  <si>
    <t xml:space="preserve">Shape classification </t>
  </si>
  <si>
    <t>K2WGM</t>
  </si>
  <si>
    <t>A1</t>
  </si>
  <si>
    <t>SWRM12</t>
  </si>
  <si>
    <t>K1G288158</t>
  </si>
  <si>
    <t>N7</t>
  </si>
  <si>
    <t>K9A57A</t>
  </si>
  <si>
    <t>K2HN1</t>
  </si>
  <si>
    <t>K2HN3</t>
  </si>
  <si>
    <t xml:space="preserve">Class 1 </t>
  </si>
  <si>
    <t>Class 3</t>
  </si>
  <si>
    <t>W4</t>
  </si>
  <si>
    <t>C4641BD</t>
  </si>
  <si>
    <t>Form Type</t>
  </si>
  <si>
    <t>K2HN2</t>
  </si>
  <si>
    <t>Class 2</t>
  </si>
  <si>
    <t>K2HN4</t>
  </si>
  <si>
    <t>K2HN5</t>
  </si>
  <si>
    <t>K2HN6</t>
  </si>
  <si>
    <t>K2HN7</t>
  </si>
  <si>
    <t>K2HN8</t>
  </si>
  <si>
    <t>K2HN9</t>
  </si>
  <si>
    <t>Class 4</t>
  </si>
  <si>
    <t>Class 5</t>
  </si>
  <si>
    <t>Class 6</t>
  </si>
  <si>
    <t>Class 7</t>
  </si>
  <si>
    <t>Class 8</t>
  </si>
  <si>
    <t>Class 9</t>
  </si>
  <si>
    <t>K2HM1</t>
  </si>
  <si>
    <t>K2HM2</t>
  </si>
  <si>
    <t>K2HM3</t>
  </si>
  <si>
    <t>K2HM4</t>
  </si>
  <si>
    <t>K2HM5</t>
  </si>
  <si>
    <t>K2HM6</t>
  </si>
  <si>
    <t>K2HM7</t>
  </si>
  <si>
    <t>K2HM8</t>
  </si>
  <si>
    <t>K2HM9</t>
  </si>
  <si>
    <t>Class 1</t>
  </si>
  <si>
    <t>K2HV1</t>
  </si>
  <si>
    <t>K2HV2</t>
  </si>
  <si>
    <t>K2HV3</t>
  </si>
  <si>
    <t>K2HV4</t>
  </si>
  <si>
    <t>K2HV5</t>
  </si>
  <si>
    <t>K2HV6</t>
  </si>
  <si>
    <t>K2HV7</t>
  </si>
  <si>
    <t>K2HV8</t>
  </si>
  <si>
    <t>K2HV9</t>
  </si>
  <si>
    <t>K2SH1H</t>
  </si>
  <si>
    <t>K2SH2H</t>
  </si>
  <si>
    <t>K2SH1L</t>
  </si>
  <si>
    <t>K2SH2L</t>
  </si>
  <si>
    <t>Type 1</t>
  </si>
  <si>
    <t>K2WG1</t>
  </si>
  <si>
    <t>K2WG2</t>
  </si>
  <si>
    <t>K2WG3</t>
  </si>
  <si>
    <t>K2WG4</t>
  </si>
  <si>
    <t>K2WG5</t>
  </si>
  <si>
    <t>K2WG6</t>
  </si>
  <si>
    <t>K2WG7</t>
  </si>
  <si>
    <t>K2WG8</t>
  </si>
  <si>
    <t>K2WG9</t>
  </si>
  <si>
    <t>Type 2</t>
  </si>
  <si>
    <t>Type 3</t>
  </si>
  <si>
    <t>Type 4</t>
  </si>
  <si>
    <t>Type 5</t>
  </si>
  <si>
    <t>Type 6</t>
  </si>
  <si>
    <t>Type 7</t>
  </si>
  <si>
    <t>Type 8</t>
  </si>
  <si>
    <t>Type 9</t>
  </si>
  <si>
    <t>As rolled end</t>
  </si>
  <si>
    <t>Shape of thread end</t>
  </si>
  <si>
    <t>Flat end</t>
  </si>
  <si>
    <t>K3CMP</t>
  </si>
  <si>
    <t>Pan Head</t>
  </si>
  <si>
    <t>Type of Shape</t>
  </si>
  <si>
    <t>K3CMF</t>
  </si>
  <si>
    <t xml:space="preserve">Flat head </t>
  </si>
  <si>
    <t>Slotted head Machine Screw</t>
  </si>
  <si>
    <t>K3SMP</t>
  </si>
  <si>
    <t>K3SMF</t>
  </si>
  <si>
    <t>W2</t>
  </si>
  <si>
    <t>C2700W</t>
  </si>
  <si>
    <t>Slotted Set Screw</t>
  </si>
  <si>
    <t>Hexagon socket head Screw</t>
  </si>
  <si>
    <t>Cup point</t>
  </si>
  <si>
    <t>Form of end point</t>
  </si>
  <si>
    <t>Dog point</t>
  </si>
  <si>
    <t>Plating:</t>
  </si>
  <si>
    <t>Large circle</t>
  </si>
  <si>
    <t>Square Plain Washer</t>
  </si>
  <si>
    <t>Shape type</t>
  </si>
  <si>
    <t>S</t>
  </si>
  <si>
    <t>Small circle</t>
  </si>
  <si>
    <t>Medium circle</t>
  </si>
  <si>
    <t>K4CS1L</t>
  </si>
  <si>
    <t>Shape Type</t>
  </si>
  <si>
    <t>K4CS1H</t>
  </si>
  <si>
    <t>K4CS2H</t>
  </si>
  <si>
    <t>K4QT5</t>
  </si>
  <si>
    <t>5 degree</t>
  </si>
  <si>
    <t>Taper</t>
  </si>
  <si>
    <t>K4QT6</t>
  </si>
  <si>
    <t>6 degree</t>
  </si>
  <si>
    <t>K4QT8</t>
  </si>
  <si>
    <t>8 degree</t>
  </si>
  <si>
    <t>K4RL1</t>
  </si>
  <si>
    <t>K4RL2</t>
  </si>
  <si>
    <t>K4RL3</t>
  </si>
  <si>
    <t>K4RL4</t>
  </si>
  <si>
    <t>Hole Type</t>
  </si>
  <si>
    <t>1 hole</t>
  </si>
  <si>
    <t>2 holes</t>
  </si>
  <si>
    <t>3 holes</t>
  </si>
  <si>
    <t>2 holes with slit</t>
  </si>
  <si>
    <t>K4SW2</t>
  </si>
  <si>
    <t>K4SW3</t>
  </si>
  <si>
    <t>Type 2: General Use</t>
  </si>
  <si>
    <t>Type 3: Heavy Load</t>
  </si>
  <si>
    <t>SD</t>
  </si>
  <si>
    <t>SWRH57</t>
  </si>
  <si>
    <t>W5</t>
  </si>
  <si>
    <t>C5191W</t>
  </si>
  <si>
    <t>K4TW2</t>
  </si>
  <si>
    <t>K4TW3</t>
  </si>
  <si>
    <t>R2</t>
  </si>
  <si>
    <t>SUS410</t>
  </si>
  <si>
    <t>Three Tang</t>
  </si>
  <si>
    <t>Two Tang</t>
  </si>
  <si>
    <t>Tang Washer</t>
  </si>
  <si>
    <t>KP Code:</t>
  </si>
  <si>
    <t>K5DPA</t>
  </si>
  <si>
    <t>Thread Type</t>
  </si>
  <si>
    <t>K5DPB</t>
  </si>
  <si>
    <t>Parallel mold Pin</t>
  </si>
  <si>
    <t>Knock Pin</t>
  </si>
  <si>
    <t>K5PPA</t>
  </si>
  <si>
    <t>K5PPB</t>
  </si>
  <si>
    <t>K5PPS</t>
  </si>
  <si>
    <t>K5PKA</t>
  </si>
  <si>
    <t>K5PKB</t>
  </si>
  <si>
    <t>K5PKS</t>
  </si>
  <si>
    <t>K5PDA</t>
  </si>
  <si>
    <t>K5PDB</t>
  </si>
  <si>
    <t>K5PDS</t>
  </si>
  <si>
    <t xml:space="preserve">Type </t>
  </si>
  <si>
    <t>Tubler Rivet</t>
  </si>
  <si>
    <t>K5RVC</t>
  </si>
  <si>
    <t>K5RVF</t>
  </si>
  <si>
    <t>K5RVM</t>
  </si>
  <si>
    <t>K5RVR</t>
  </si>
  <si>
    <t>K5RVU</t>
  </si>
  <si>
    <t>K5TRC</t>
  </si>
  <si>
    <t>K5TRF</t>
  </si>
  <si>
    <t>K5TRM</t>
  </si>
  <si>
    <t>K5TRR</t>
  </si>
  <si>
    <t>K5TRU</t>
  </si>
  <si>
    <t>Head Shape</t>
  </si>
  <si>
    <t>Center hole</t>
  </si>
  <si>
    <t>Mushroom</t>
  </si>
  <si>
    <t>Round Head</t>
  </si>
  <si>
    <t>Thin flat-head</t>
  </si>
  <si>
    <t>A4</t>
  </si>
  <si>
    <t>SV330</t>
  </si>
  <si>
    <t>H8</t>
  </si>
  <si>
    <t>K4P52C</t>
  </si>
  <si>
    <t>W1</t>
  </si>
  <si>
    <t>C1100</t>
  </si>
  <si>
    <t>K5SKP</t>
  </si>
  <si>
    <t>K5SKT</t>
  </si>
  <si>
    <t>K5SKS</t>
  </si>
  <si>
    <t>Parallel</t>
  </si>
  <si>
    <t>Small Taper</t>
  </si>
  <si>
    <t>Shape of driving part</t>
  </si>
  <si>
    <t>Update sub classifications</t>
  </si>
  <si>
    <t>K5TPA</t>
  </si>
  <si>
    <t>K5TPB</t>
  </si>
  <si>
    <t>K5TP1</t>
  </si>
  <si>
    <t>K5TP2</t>
  </si>
  <si>
    <t>Type A</t>
  </si>
  <si>
    <t>Type B</t>
  </si>
  <si>
    <t>Type or Class</t>
  </si>
  <si>
    <t>Updates sub classification</t>
  </si>
  <si>
    <t>1 (Light Load)</t>
  </si>
  <si>
    <t>1 (Heavy Load)</t>
  </si>
  <si>
    <t>2 (Heavy Load)</t>
  </si>
  <si>
    <t>HA</t>
  </si>
  <si>
    <t>K5P56A</t>
  </si>
  <si>
    <t>HB</t>
  </si>
  <si>
    <t>K5P58A</t>
  </si>
  <si>
    <t>RH</t>
  </si>
  <si>
    <t>K9A56H</t>
  </si>
  <si>
    <t>T3</t>
  </si>
  <si>
    <t>K62N56A</t>
  </si>
  <si>
    <t>K1ST1</t>
  </si>
  <si>
    <t>K1ST2</t>
  </si>
  <si>
    <t>K1ST3</t>
  </si>
  <si>
    <t>KS</t>
  </si>
  <si>
    <t>4A</t>
  </si>
  <si>
    <t>4B</t>
  </si>
  <si>
    <t>LMN-A2A</t>
  </si>
  <si>
    <t>LMN-D6R</t>
  </si>
  <si>
    <t>4C</t>
  </si>
  <si>
    <t>LMN-E7B</t>
  </si>
  <si>
    <t>4D</t>
  </si>
  <si>
    <t>LMN-D6Z</t>
  </si>
  <si>
    <t>K6PWC</t>
  </si>
  <si>
    <t>K6PWS</t>
  </si>
  <si>
    <t>Shape</t>
  </si>
  <si>
    <t>Circular</t>
  </si>
  <si>
    <t>Square</t>
  </si>
  <si>
    <t>SE</t>
  </si>
  <si>
    <t>Steel</t>
  </si>
  <si>
    <t>Stainless Steel</t>
  </si>
  <si>
    <t>BE</t>
  </si>
  <si>
    <t>SK85M</t>
  </si>
  <si>
    <t>K7CRS</t>
  </si>
  <si>
    <t>K7CRH</t>
  </si>
  <si>
    <t>For Shaft</t>
  </si>
  <si>
    <t>For Hole</t>
  </si>
  <si>
    <t>K7NKA</t>
  </si>
  <si>
    <t>K7NKB</t>
  </si>
  <si>
    <t>K7NKC</t>
  </si>
  <si>
    <t>K8UBA</t>
  </si>
  <si>
    <t>K8UBB</t>
  </si>
  <si>
    <t>k8UBC</t>
  </si>
  <si>
    <t>Nose Shape</t>
  </si>
  <si>
    <t>Specially Ordered</t>
  </si>
  <si>
    <t>Type:</t>
  </si>
  <si>
    <t>With Notch</t>
  </si>
  <si>
    <t>Tip Shape</t>
  </si>
  <si>
    <t>N Subclassification works for plating and subclass but we need it to classify iot as subclass</t>
  </si>
  <si>
    <t>K9RSS</t>
  </si>
  <si>
    <t>k9RSC</t>
  </si>
  <si>
    <t>S-type</t>
  </si>
  <si>
    <t>C-type</t>
  </si>
  <si>
    <t>KP Standards Classification</t>
  </si>
  <si>
    <t>Nominal designation</t>
  </si>
  <si>
    <t>Nominal diameter</t>
  </si>
  <si>
    <t>d</t>
  </si>
  <si>
    <t>t</t>
  </si>
  <si>
    <t>e</t>
  </si>
  <si>
    <t>f</t>
  </si>
  <si>
    <t>b</t>
  </si>
  <si>
    <t>r</t>
  </si>
  <si>
    <t>M10</t>
  </si>
  <si>
    <t>M12</t>
  </si>
  <si>
    <t>M16</t>
  </si>
  <si>
    <t>M20</t>
  </si>
  <si>
    <t>M24</t>
  </si>
  <si>
    <t>M30</t>
  </si>
  <si>
    <t>M36</t>
  </si>
  <si>
    <t>Nominal Designation:</t>
  </si>
  <si>
    <t>K2CPUT20H7</t>
  </si>
  <si>
    <t>KP Reference Sheet</t>
  </si>
  <si>
    <t>KPK0A401-H</t>
  </si>
  <si>
    <t>KPK0A131-F</t>
  </si>
  <si>
    <t>KPK0A101-M</t>
  </si>
  <si>
    <t>KPK0A103-F</t>
  </si>
  <si>
    <t>KPK0A102-F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</si>
</sst>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indexed="81"/>
      <name val="Tahoma"/>
      <family val="2"/>
    </font>
    <font>
      <b/>
      <sz val="16"/>
      <name val="Calibri"/>
      <family val="2"/>
      <scheme val="minor"/>
    </font>
    <font>
      <b/>
      <sz val="11"/>
      <color indexed="8"/>
      <name val="Arial"/>
      <family val="2"/>
    </font>
    <font>
      <b/>
      <sz val="12"/>
      <color indexed="8"/>
      <name val="Arial"/>
      <family val="2"/>
    </font>
    <font>
      <b/>
      <sz val="10"/>
      <color indexed="8"/>
      <name val="Arial"/>
      <family val="2"/>
    </font>
    <font>
      <sz val="11"/>
      <color indexed="8"/>
      <name val="Arial"/>
      <family val="2"/>
    </font>
    <font>
      <sz val="11"/>
      <name val="Arial"/>
      <family val="2"/>
    </font>
    <font>
      <sz val="12"/>
      <color indexed="8"/>
      <name val="Arial"/>
      <family val="2"/>
    </font>
    <font>
      <sz val="12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2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20" fillId="0" borderId="0" applyNumberFormat="0" applyFill="0" applyBorder="0" applyAlignment="0" applyProtection="0">
      <alignment vertical="top"/>
      <protection locked="0"/>
    </xf>
  </cellStyleXfs>
  <cellXfs count="135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0" fontId="0" fillId="0" borderId="0" xfId="0" applyFill="1"/>
    <xf numFmtId="0" fontId="2" fillId="0" borderId="0" xfId="0" applyFont="1" applyFill="1" applyBorder="1"/>
    <xf numFmtId="0" fontId="3" fillId="0" borderId="0" xfId="0" applyFont="1" applyFill="1" applyBorder="1"/>
    <xf numFmtId="0" fontId="3" fillId="0" borderId="0" xfId="0" applyFont="1"/>
    <xf numFmtId="0" fontId="3" fillId="0" borderId="0" xfId="0" applyFont="1" applyFill="1" applyBorder="1" applyAlignment="1"/>
    <xf numFmtId="0" fontId="3" fillId="0" borderId="0" xfId="0" applyFont="1" applyFill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/>
    </xf>
    <xf numFmtId="0" fontId="4" fillId="0" borderId="0" xfId="0" applyFont="1"/>
    <xf numFmtId="0" fontId="0" fillId="0" borderId="1" xfId="0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Fill="1" applyBorder="1"/>
    <xf numFmtId="0" fontId="1" fillId="0" borderId="1" xfId="0" applyFont="1" applyFill="1" applyBorder="1"/>
    <xf numFmtId="0" fontId="0" fillId="0" borderId="1" xfId="0" applyFill="1" applyBorder="1"/>
    <xf numFmtId="0" fontId="2" fillId="0" borderId="0" xfId="0" applyFont="1"/>
    <xf numFmtId="0" fontId="1" fillId="0" borderId="0" xfId="0" applyFont="1"/>
    <xf numFmtId="0" fontId="8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vertical="center"/>
    </xf>
    <xf numFmtId="0" fontId="11" fillId="0" borderId="1" xfId="0" applyFont="1" applyBorder="1"/>
    <xf numFmtId="0" fontId="11" fillId="3" borderId="1" xfId="0" applyFont="1" applyFill="1" applyBorder="1"/>
    <xf numFmtId="0" fontId="11" fillId="5" borderId="1" xfId="0" applyFont="1" applyFill="1" applyBorder="1"/>
    <xf numFmtId="0" fontId="11" fillId="4" borderId="1" xfId="0" applyFont="1" applyFill="1" applyBorder="1"/>
    <xf numFmtId="0" fontId="11" fillId="4" borderId="3" xfId="0" applyFont="1" applyFill="1" applyBorder="1"/>
    <xf numFmtId="0" fontId="11" fillId="0" borderId="3" xfId="0" applyFont="1" applyFill="1" applyBorder="1"/>
    <xf numFmtId="0" fontId="11" fillId="0" borderId="0" xfId="0" applyFont="1" applyFill="1" applyBorder="1"/>
    <xf numFmtId="0" fontId="2" fillId="0" borderId="0" xfId="0" applyFont="1" applyFill="1"/>
    <xf numFmtId="0" fontId="1" fillId="2" borderId="1" xfId="0" applyFont="1" applyFill="1" applyBorder="1" applyAlignment="1">
      <alignment horizontal="center"/>
    </xf>
    <xf numFmtId="0" fontId="1" fillId="2" borderId="0" xfId="0" applyFont="1" applyFill="1" applyBorder="1"/>
    <xf numFmtId="0" fontId="0" fillId="0" borderId="4" xfId="0" applyBorder="1"/>
    <xf numFmtId="0" fontId="11" fillId="6" borderId="1" xfId="0" applyFont="1" applyFill="1" applyBorder="1"/>
    <xf numFmtId="0" fontId="1" fillId="7" borderId="1" xfId="0" applyFont="1" applyFill="1" applyBorder="1"/>
    <xf numFmtId="0" fontId="0" fillId="0" borderId="0" xfId="0" applyFill="1" applyBorder="1"/>
    <xf numFmtId="0" fontId="0" fillId="6" borderId="1" xfId="0" applyFill="1" applyBorder="1"/>
    <xf numFmtId="0" fontId="0" fillId="7" borderId="1" xfId="0" applyFill="1" applyBorder="1"/>
    <xf numFmtId="0" fontId="12" fillId="6" borderId="1" xfId="0" applyFont="1" applyFill="1" applyBorder="1"/>
    <xf numFmtId="0" fontId="14" fillId="6" borderId="1" xfId="0" applyFont="1" applyFill="1" applyBorder="1"/>
    <xf numFmtId="0" fontId="1" fillId="8" borderId="0" xfId="0" applyFont="1" applyFill="1"/>
    <xf numFmtId="0" fontId="11" fillId="10" borderId="1" xfId="0" applyFont="1" applyFill="1" applyBorder="1"/>
    <xf numFmtId="0" fontId="0" fillId="10" borderId="1" xfId="0" applyFill="1" applyBorder="1"/>
    <xf numFmtId="0" fontId="0" fillId="10" borderId="0" xfId="0" applyFill="1"/>
    <xf numFmtId="0" fontId="0" fillId="0" borderId="3" xfId="0" applyFill="1" applyBorder="1"/>
    <xf numFmtId="0" fontId="1" fillId="3" borderId="1" xfId="0" applyFont="1" applyFill="1" applyBorder="1"/>
    <xf numFmtId="0" fontId="0" fillId="3" borderId="1" xfId="0" applyFont="1" applyFill="1" applyBorder="1" applyAlignment="1">
      <alignment horizontal="center"/>
    </xf>
    <xf numFmtId="0" fontId="12" fillId="9" borderId="1" xfId="0" applyFont="1" applyFill="1" applyBorder="1"/>
    <xf numFmtId="0" fontId="3" fillId="9" borderId="1" xfId="0" applyFont="1" applyFill="1" applyBorder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3" fillId="13" borderId="0" xfId="0" applyFont="1" applyFill="1" applyBorder="1"/>
    <xf numFmtId="0" fontId="0" fillId="13" borderId="0" xfId="0" applyFill="1" applyBorder="1"/>
    <xf numFmtId="0" fontId="3" fillId="13" borderId="0" xfId="0" applyFont="1" applyFill="1" applyBorder="1" applyAlignment="1"/>
    <xf numFmtId="0" fontId="0" fillId="13" borderId="0" xfId="0" applyFill="1" applyBorder="1" applyAlignment="1">
      <alignment vertical="top" shrinkToFit="1"/>
    </xf>
    <xf numFmtId="0" fontId="15" fillId="13" borderId="0" xfId="0" applyFont="1" applyFill="1" applyBorder="1" applyAlignment="1">
      <alignment horizontal="center"/>
    </xf>
    <xf numFmtId="0" fontId="3" fillId="6" borderId="1" xfId="0" applyFont="1" applyFill="1" applyBorder="1"/>
    <xf numFmtId="0" fontId="0" fillId="11" borderId="4" xfId="0" applyFill="1" applyBorder="1"/>
    <xf numFmtId="0" fontId="7" fillId="13" borderId="0" xfId="0" applyFont="1" applyFill="1" applyBorder="1"/>
    <xf numFmtId="0" fontId="0" fillId="0" borderId="3" xfId="0" applyFill="1" applyBorder="1" applyAlignment="1">
      <alignment horizontal="left"/>
    </xf>
    <xf numFmtId="0" fontId="0" fillId="0" borderId="0" xfId="0" applyAlignment="1">
      <alignment horizontal="left"/>
    </xf>
    <xf numFmtId="0" fontId="15" fillId="13" borderId="0" xfId="0" applyFont="1" applyFill="1" applyBorder="1" applyAlignment="1">
      <alignment horizontal="right"/>
    </xf>
    <xf numFmtId="0" fontId="3" fillId="11" borderId="0" xfId="0" applyFont="1" applyFill="1" applyBorder="1"/>
    <xf numFmtId="0" fontId="5" fillId="13" borderId="6" xfId="0" applyFont="1" applyFill="1" applyBorder="1"/>
    <xf numFmtId="0" fontId="5" fillId="13" borderId="0" xfId="0" applyFont="1" applyFill="1" applyBorder="1" applyAlignment="1">
      <alignment horizontal="center"/>
    </xf>
    <xf numFmtId="0" fontId="3" fillId="13" borderId="6" xfId="0" applyFont="1" applyFill="1" applyBorder="1"/>
    <xf numFmtId="0" fontId="3" fillId="13" borderId="7" xfId="0" applyFont="1" applyFill="1" applyBorder="1"/>
    <xf numFmtId="0" fontId="2" fillId="13" borderId="7" xfId="0" applyFont="1" applyFill="1" applyBorder="1"/>
    <xf numFmtId="0" fontId="5" fillId="13" borderId="0" xfId="0" applyFont="1" applyFill="1" applyBorder="1" applyAlignment="1">
      <alignment horizontal="center" vertical="center"/>
    </xf>
    <xf numFmtId="0" fontId="0" fillId="13" borderId="7" xfId="0" applyFill="1" applyBorder="1" applyAlignment="1">
      <alignment vertical="top" shrinkToFit="1"/>
    </xf>
    <xf numFmtId="0" fontId="3" fillId="13" borderId="12" xfId="0" applyFont="1" applyFill="1" applyBorder="1"/>
    <xf numFmtId="0" fontId="3" fillId="13" borderId="11" xfId="0" applyFont="1" applyFill="1" applyBorder="1"/>
    <xf numFmtId="164" fontId="3" fillId="13" borderId="7" xfId="0" applyNumberFormat="1" applyFont="1" applyFill="1" applyBorder="1"/>
    <xf numFmtId="0" fontId="18" fillId="13" borderId="8" xfId="0" applyFont="1" applyFill="1" applyBorder="1"/>
    <xf numFmtId="0" fontId="3" fillId="11" borderId="0" xfId="0" applyFont="1" applyFill="1"/>
    <xf numFmtId="0" fontId="2" fillId="11" borderId="0" xfId="0" applyFont="1" applyFill="1" applyBorder="1"/>
    <xf numFmtId="0" fontId="3" fillId="11" borderId="0" xfId="0" applyFont="1" applyFill="1" applyBorder="1" applyAlignment="1"/>
    <xf numFmtId="164" fontId="7" fillId="11" borderId="0" xfId="0" applyNumberFormat="1" applyFont="1" applyFill="1" applyBorder="1" applyAlignment="1"/>
    <xf numFmtId="164" fontId="2" fillId="11" borderId="0" xfId="0" applyNumberFormat="1" applyFont="1" applyFill="1" applyBorder="1"/>
    <xf numFmtId="164" fontId="3" fillId="11" borderId="0" xfId="0" applyNumberFormat="1" applyFont="1" applyFill="1" applyBorder="1"/>
    <xf numFmtId="164" fontId="2" fillId="11" borderId="7" xfId="0" applyNumberFormat="1" applyFont="1" applyFill="1" applyBorder="1"/>
    <xf numFmtId="164" fontId="7" fillId="0" borderId="0" xfId="0" applyNumberFormat="1" applyFont="1" applyFill="1" applyBorder="1" applyAlignment="1"/>
    <xf numFmtId="164" fontId="3" fillId="0" borderId="0" xfId="0" applyNumberFormat="1" applyFont="1" applyFill="1"/>
    <xf numFmtId="164" fontId="0" fillId="0" borderId="0" xfId="0" applyNumberFormat="1" applyFill="1"/>
    <xf numFmtId="164" fontId="2" fillId="0" borderId="0" xfId="0" applyNumberFormat="1" applyFont="1" applyFill="1" applyBorder="1"/>
    <xf numFmtId="164" fontId="2" fillId="0" borderId="0" xfId="0" applyNumberFormat="1" applyFont="1" applyFill="1"/>
    <xf numFmtId="164" fontId="3" fillId="0" borderId="0" xfId="0" applyNumberFormat="1" applyFont="1" applyFill="1" applyBorder="1"/>
    <xf numFmtId="0" fontId="3" fillId="13" borderId="0" xfId="0" applyFont="1" applyFill="1" applyBorder="1" applyProtection="1"/>
    <xf numFmtId="0" fontId="3" fillId="13" borderId="0" xfId="0" applyNumberFormat="1" applyFont="1" applyFill="1" applyBorder="1" applyProtection="1"/>
    <xf numFmtId="164" fontId="0" fillId="13" borderId="0" xfId="0" applyNumberFormat="1" applyFill="1" applyBorder="1" applyProtection="1"/>
    <xf numFmtId="0" fontId="16" fillId="13" borderId="0" xfId="0" applyFont="1" applyFill="1" applyBorder="1" applyProtection="1"/>
    <xf numFmtId="0" fontId="16" fillId="13" borderId="0" xfId="0" applyFont="1" applyFill="1" applyBorder="1" applyAlignment="1" applyProtection="1">
      <alignment horizontal="right"/>
    </xf>
    <xf numFmtId="0" fontId="17" fillId="13" borderId="0" xfId="0" applyNumberFormat="1" applyFont="1" applyFill="1" applyBorder="1" applyAlignment="1" applyProtection="1">
      <alignment horizontal="center"/>
    </xf>
    <xf numFmtId="0" fontId="17" fillId="13" borderId="0" xfId="0" applyFont="1" applyFill="1" applyBorder="1" applyProtection="1"/>
    <xf numFmtId="0" fontId="17" fillId="13" borderId="0" xfId="0" applyFont="1" applyFill="1" applyBorder="1" applyAlignment="1" applyProtection="1">
      <alignment horizontal="center"/>
    </xf>
    <xf numFmtId="0" fontId="16" fillId="13" borderId="0" xfId="0" applyNumberFormat="1" applyFont="1" applyFill="1" applyBorder="1" applyAlignment="1" applyProtection="1">
      <alignment horizontal="right"/>
    </xf>
    <xf numFmtId="164" fontId="17" fillId="13" borderId="0" xfId="0" applyNumberFormat="1" applyFont="1" applyFill="1" applyBorder="1" applyProtection="1"/>
    <xf numFmtId="0" fontId="17" fillId="3" borderId="0" xfId="0" applyFont="1" applyFill="1" applyBorder="1" applyProtection="1"/>
    <xf numFmtId="0" fontId="16" fillId="13" borderId="0" xfId="0" applyFont="1" applyFill="1" applyBorder="1" applyAlignment="1" applyProtection="1">
      <alignment wrapText="1"/>
    </xf>
    <xf numFmtId="0" fontId="14" fillId="13" borderId="0" xfId="0" applyFont="1" applyFill="1" applyProtection="1"/>
    <xf numFmtId="0" fontId="17" fillId="13" borderId="0" xfId="0" applyNumberFormat="1" applyFont="1" applyFill="1" applyBorder="1" applyProtection="1"/>
    <xf numFmtId="0" fontId="17" fillId="13" borderId="0" xfId="0" applyFont="1" applyFill="1" applyBorder="1" applyAlignment="1" applyProtection="1">
      <alignment horizontal="left" vertical="center"/>
    </xf>
    <xf numFmtId="0" fontId="16" fillId="13" borderId="0" xfId="0" applyFont="1" applyFill="1" applyBorder="1" applyAlignment="1" applyProtection="1">
      <alignment horizontal="right" vertical="top" wrapText="1"/>
    </xf>
    <xf numFmtId="0" fontId="19" fillId="13" borderId="0" xfId="0" applyFont="1" applyFill="1" applyBorder="1" applyProtection="1"/>
    <xf numFmtId="0" fontId="16" fillId="13" borderId="0" xfId="0" applyFont="1" applyFill="1" applyBorder="1" applyAlignment="1" applyProtection="1">
      <alignment horizontal="right" vertical="top"/>
    </xf>
    <xf numFmtId="0" fontId="0" fillId="13" borderId="0" xfId="0" applyNumberFormat="1" applyFill="1" applyBorder="1" applyProtection="1"/>
    <xf numFmtId="0" fontId="14" fillId="13" borderId="0" xfId="0" applyFont="1" applyFill="1" applyBorder="1" applyProtection="1"/>
    <xf numFmtId="0" fontId="1" fillId="8" borderId="1" xfId="0" applyFont="1" applyFill="1" applyBorder="1"/>
    <xf numFmtId="0" fontId="20" fillId="0" borderId="0" xfId="1" applyFill="1" applyBorder="1" applyAlignment="1" applyProtection="1"/>
    <xf numFmtId="0" fontId="16" fillId="13" borderId="0" xfId="0" applyFont="1" applyFill="1" applyBorder="1" applyAlignment="1" applyProtection="1">
      <alignment horizontal="right" vertical="top" wrapText="1"/>
    </xf>
    <xf numFmtId="0" fontId="17" fillId="3" borderId="0" xfId="0" applyFont="1" applyFill="1" applyBorder="1" applyProtection="1"/>
    <xf numFmtId="0" fontId="17" fillId="3" borderId="0" xfId="0" applyFont="1" applyFill="1" applyBorder="1" applyAlignment="1" applyProtection="1">
      <alignment horizontal="left"/>
    </xf>
    <xf numFmtId="0" fontId="16" fillId="13" borderId="0" xfId="0" applyFont="1" applyFill="1" applyBorder="1" applyAlignment="1" applyProtection="1">
      <alignment horizontal="right" vertical="top" wrapText="1"/>
    </xf>
    <xf numFmtId="0" fontId="19" fillId="14" borderId="0" xfId="0" applyFont="1" applyFill="1" applyBorder="1" applyAlignment="1"/>
    <xf numFmtId="0" fontId="17" fillId="3" borderId="0" xfId="0" applyFont="1" applyFill="1" applyBorder="1" applyAlignment="1" applyProtection="1">
      <alignment horizontal="left" vertical="top" shrinkToFit="1"/>
    </xf>
    <xf numFmtId="0" fontId="17" fillId="3" borderId="0" xfId="0" applyFont="1" applyFill="1" applyBorder="1" applyProtection="1"/>
    <xf numFmtId="0" fontId="17" fillId="3" borderId="0" xfId="0" applyFont="1" applyFill="1" applyBorder="1" applyAlignment="1" applyProtection="1">
      <alignment horizontal="left" vertical="center"/>
    </xf>
    <xf numFmtId="0" fontId="3" fillId="3" borderId="2" xfId="0" applyFont="1" applyFill="1" applyBorder="1" applyAlignment="1">
      <alignment horizontal="center"/>
    </xf>
    <xf numFmtId="0" fontId="7" fillId="13" borderId="9" xfId="0" applyFont="1" applyFill="1" applyBorder="1" applyAlignment="1">
      <alignment horizontal="center"/>
    </xf>
    <xf numFmtId="0" fontId="7" fillId="13" borderId="10" xfId="0" applyFont="1" applyFill="1" applyBorder="1" applyAlignment="1">
      <alignment horizontal="center"/>
    </xf>
    <xf numFmtId="0" fontId="7" fillId="13" borderId="5" xfId="0" applyFont="1" applyFill="1" applyBorder="1" applyAlignment="1">
      <alignment horizontal="center"/>
    </xf>
    <xf numFmtId="0" fontId="5" fillId="13" borderId="0" xfId="0" applyFont="1" applyFill="1" applyBorder="1" applyAlignment="1">
      <alignment horizontal="center" vertical="center"/>
    </xf>
    <xf numFmtId="0" fontId="5" fillId="13" borderId="0" xfId="0" applyFont="1" applyFill="1" applyBorder="1" applyAlignment="1">
      <alignment horizontal="center"/>
    </xf>
    <xf numFmtId="0" fontId="17" fillId="3" borderId="0" xfId="0" applyFont="1" applyFill="1" applyBorder="1" applyAlignment="1" applyProtection="1">
      <alignment horizontal="center"/>
    </xf>
    <xf numFmtId="0" fontId="8" fillId="4" borderId="0" xfId="0" applyFont="1" applyFill="1" applyBorder="1" applyAlignment="1">
      <alignment vertical="center" wrapText="1"/>
    </xf>
    <xf numFmtId="0" fontId="13" fillId="6" borderId="4" xfId="0" applyFont="1" applyFill="1" applyBorder="1"/>
    <xf numFmtId="0" fontId="14" fillId="6" borderId="4" xfId="0" applyFont="1" applyFill="1" applyBorder="1"/>
    <xf numFmtId="0" fontId="0" fillId="6" borderId="4" xfId="0" applyFill="1" applyBorder="1"/>
    <xf numFmtId="0" fontId="0" fillId="10" borderId="4" xfId="0" applyFill="1" applyBorder="1"/>
    <xf numFmtId="0" fontId="3" fillId="9" borderId="4" xfId="0" applyFont="1" applyFill="1" applyBorder="1"/>
    <xf numFmtId="0" fontId="3" fillId="6" borderId="4" xfId="0" applyFont="1" applyFill="1" applyBorder="1"/>
    <xf numFmtId="0" fontId="0" fillId="14" borderId="0" xfId="0" applyFill="1" applyBorder="1" applyAlignment="1">
      <alignment horizontal="center"/>
    </xf>
    <xf numFmtId="0" fontId="21" fillId="13" borderId="0" xfId="0" applyFont="1" applyFill="1" applyBorder="1" applyAlignment="1">
      <alignment horizontal="right"/>
    </xf>
    <xf numFmtId="0" fontId="0" fillId="13" borderId="0" xfId="0" applyFill="1" applyBorder="1" applyAlignme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99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599722</xdr:colOff>
      <xdr:row>1</xdr:row>
      <xdr:rowOff>13406</xdr:rowOff>
    </xdr:from>
    <xdr:to>
      <xdr:col>3</xdr:col>
      <xdr:colOff>189492</xdr:colOff>
      <xdr:row>2</xdr:row>
      <xdr:rowOff>213391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7086" b="26192"/>
        <a:stretch/>
      </xdr:blipFill>
      <xdr:spPr>
        <a:xfrm>
          <a:off x="599722" y="196850"/>
          <a:ext cx="1113770" cy="38343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599722</xdr:colOff>
      <xdr:row>1</xdr:row>
      <xdr:rowOff>13406</xdr:rowOff>
    </xdr:from>
    <xdr:to>
      <xdr:col>2</xdr:col>
      <xdr:colOff>500642</xdr:colOff>
      <xdr:row>3</xdr:row>
      <xdr:rowOff>29241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7086" b="26192"/>
        <a:stretch/>
      </xdr:blipFill>
      <xdr:spPr>
        <a:xfrm>
          <a:off x="599722" y="197556"/>
          <a:ext cx="1120120" cy="384135"/>
        </a:xfrm>
        <a:prstGeom prst="rect">
          <a:avLst/>
        </a:prstGeom>
      </xdr:spPr>
    </xdr:pic>
    <xdr:clientData/>
  </xdr:twoCellAnchor>
  <xdr:twoCellAnchor>
    <xdr:from>
      <xdr:col>9</xdr:col>
      <xdr:colOff>603250</xdr:colOff>
      <xdr:row>4</xdr:row>
      <xdr:rowOff>152400</xdr:rowOff>
    </xdr:from>
    <xdr:to>
      <xdr:col>11</xdr:col>
      <xdr:colOff>165100</xdr:colOff>
      <xdr:row>6</xdr:row>
      <xdr:rowOff>38100</xdr:rowOff>
    </xdr:to>
    <xdr:sp macro="" textlink="">
      <xdr:nvSpPr>
        <xdr:cNvPr id="3" name="Rounded Rectangle 2"/>
        <xdr:cNvSpPr/>
      </xdr:nvSpPr>
      <xdr:spPr>
        <a:xfrm>
          <a:off x="5810250" y="1022350"/>
          <a:ext cx="781050" cy="304800"/>
        </a:xfrm>
        <a:prstGeom prst="roundRect">
          <a:avLst/>
        </a:prstGeom>
        <a:ln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200" b="1">
              <a:solidFill>
                <a:srgbClr val="C00000"/>
              </a:solidFill>
            </a:rPr>
            <a:t>Classify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25400</xdr:colOff>
      <xdr:row>1</xdr:row>
      <xdr:rowOff>50800</xdr:rowOff>
    </xdr:from>
    <xdr:to>
      <xdr:col>1</xdr:col>
      <xdr:colOff>1143000</xdr:colOff>
      <xdr:row>2</xdr:row>
      <xdr:rowOff>97692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7086" b="26192"/>
        <a:stretch/>
      </xdr:blipFill>
      <xdr:spPr>
        <a:xfrm>
          <a:off x="635000" y="234950"/>
          <a:ext cx="1117600" cy="37074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KPK0A102F.pdf" TargetMode="External"/><Relationship Id="rId3" Type="http://schemas.openxmlformats.org/officeDocument/2006/relationships/hyperlink" Target="KPK0A131F.pdf" TargetMode="External"/><Relationship Id="rId7" Type="http://schemas.openxmlformats.org/officeDocument/2006/relationships/hyperlink" Target="KPK0A103F.pdf" TargetMode="External"/><Relationship Id="rId2" Type="http://schemas.openxmlformats.org/officeDocument/2006/relationships/hyperlink" Target="file:///\\monster\power\PM&amp;SS%20Technical%20Library\Bretts%20Drawing%20Lists\KP%20Standards\KPK0A401H.pdf" TargetMode="External"/><Relationship Id="rId1" Type="http://schemas.openxmlformats.org/officeDocument/2006/relationships/printerSettings" Target="../printerSettings/printerSettings8.bin"/><Relationship Id="rId6" Type="http://schemas.openxmlformats.org/officeDocument/2006/relationships/hyperlink" Target="KPK0A103F.pdf" TargetMode="External"/><Relationship Id="rId5" Type="http://schemas.openxmlformats.org/officeDocument/2006/relationships/hyperlink" Target="KPK0A101M.pdf" TargetMode="External"/><Relationship Id="rId10" Type="http://schemas.openxmlformats.org/officeDocument/2006/relationships/printerSettings" Target="../printerSettings/printerSettings9.bin"/><Relationship Id="rId4" Type="http://schemas.openxmlformats.org/officeDocument/2006/relationships/hyperlink" Target="KPK0A101M.pdf" TargetMode="External"/><Relationship Id="rId9" Type="http://schemas.openxmlformats.org/officeDocument/2006/relationships/hyperlink" Target="KPK0A102F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27"/>
  <sheetViews>
    <sheetView tabSelected="1" zoomScale="90" zoomScaleNormal="90" workbookViewId="0">
      <selection activeCell="E8" sqref="E8:G8"/>
    </sheetView>
  </sheetViews>
  <sheetFormatPr defaultRowHeight="14.5" x14ac:dyDescent="0.35"/>
  <cols>
    <col min="2" max="2" width="4.453125" customWidth="1"/>
    <col min="4" max="4" width="16.6328125" customWidth="1"/>
    <col min="7" max="7" width="22.453125" customWidth="1"/>
    <col min="8" max="8" width="7.7265625" customWidth="1"/>
    <col min="9" max="9" width="9.54296875" customWidth="1"/>
    <col min="16" max="16" width="8.7265625" style="3"/>
  </cols>
  <sheetData>
    <row r="1" spans="1:18" x14ac:dyDescent="0.35">
      <c r="A1" s="50"/>
      <c r="B1" s="50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</row>
    <row r="2" spans="1:18" x14ac:dyDescent="0.35">
      <c r="A2" s="50"/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49"/>
      <c r="P2" s="35"/>
    </row>
    <row r="3" spans="1:18" ht="21" x14ac:dyDescent="0.5">
      <c r="A3" s="50"/>
      <c r="B3" s="51"/>
      <c r="C3" s="52"/>
      <c r="D3" s="52"/>
      <c r="E3" s="52"/>
      <c r="F3" s="52"/>
      <c r="G3" s="59" t="s">
        <v>807</v>
      </c>
      <c r="H3" s="56"/>
      <c r="I3" s="56"/>
      <c r="J3" s="56"/>
      <c r="K3" s="56"/>
      <c r="L3" s="56"/>
      <c r="M3" s="56"/>
      <c r="N3" s="52"/>
      <c r="O3" s="58"/>
      <c r="P3" s="35"/>
    </row>
    <row r="4" spans="1:18" ht="18.5" x14ac:dyDescent="0.45">
      <c r="A4" s="50"/>
      <c r="B4" s="51"/>
      <c r="C4" s="52"/>
      <c r="D4" s="52"/>
      <c r="E4" s="52"/>
      <c r="F4" s="56"/>
      <c r="G4" s="56"/>
      <c r="H4" s="56"/>
      <c r="I4" s="56"/>
      <c r="J4" s="56"/>
      <c r="K4" s="56"/>
      <c r="L4" s="52"/>
      <c r="M4" s="53"/>
      <c r="N4" s="51"/>
      <c r="O4" s="58"/>
      <c r="P4" s="35"/>
      <c r="R4" s="109"/>
    </row>
    <row r="5" spans="1:18" x14ac:dyDescent="0.35">
      <c r="A5" s="50"/>
      <c r="B5" s="51"/>
      <c r="C5" s="52"/>
      <c r="D5" s="52"/>
      <c r="E5" s="52"/>
      <c r="F5" s="52"/>
      <c r="G5" s="52"/>
      <c r="H5" s="52"/>
      <c r="I5" s="52"/>
      <c r="J5" s="52"/>
      <c r="K5" s="52"/>
      <c r="L5" s="52"/>
      <c r="M5" s="53"/>
      <c r="N5" s="51"/>
      <c r="O5" s="58"/>
      <c r="P5" s="35"/>
    </row>
    <row r="6" spans="1:18" ht="18.5" x14ac:dyDescent="0.45">
      <c r="A6" s="50"/>
      <c r="B6" s="51"/>
      <c r="C6" s="53"/>
      <c r="D6" s="53"/>
      <c r="E6" s="53"/>
      <c r="F6" s="62" t="s">
        <v>701</v>
      </c>
      <c r="G6" s="114" t="s">
        <v>824</v>
      </c>
      <c r="H6" s="114"/>
      <c r="I6" s="114"/>
      <c r="J6" s="114"/>
      <c r="K6" s="54"/>
      <c r="L6" s="54"/>
      <c r="M6" s="54"/>
      <c r="N6" s="54"/>
      <c r="O6" s="58"/>
      <c r="P6" s="35"/>
    </row>
    <row r="7" spans="1:18" ht="25" customHeight="1" x14ac:dyDescent="0.35">
      <c r="A7" s="50"/>
      <c r="B7" s="51"/>
      <c r="C7" s="88"/>
      <c r="D7" s="88" t="s">
        <v>546</v>
      </c>
      <c r="E7" s="88"/>
      <c r="F7" s="88"/>
      <c r="G7" s="88"/>
      <c r="H7" s="89"/>
      <c r="I7" s="88"/>
      <c r="J7" s="88"/>
      <c r="K7" s="88"/>
      <c r="L7" s="88"/>
      <c r="M7" s="90"/>
      <c r="N7" s="51"/>
      <c r="O7" s="49"/>
      <c r="P7" s="35"/>
    </row>
    <row r="8" spans="1:18" ht="15.5" x14ac:dyDescent="0.35">
      <c r="A8" s="50"/>
      <c r="B8" s="51"/>
      <c r="C8" s="91"/>
      <c r="D8" s="92" t="s">
        <v>457</v>
      </c>
      <c r="E8" s="112" t="str">
        <f>IF(G6 = "", "",IF(ISERROR(VLOOKUP((LEFT(G6,4)&amp;H10),Definitions!B3:F246,5,FALSE)), IF(ISERROR(VLOOKUP(LEFT(G6,4), Definitions!C3:F246, 4, FALSE)), "NOT FOUND", VLOOKUP(LEFT(G6,4),Definitions!C3:F246, 4, FALSE)), VLOOKUP((LEFT(G6,4)&amp;H10),Definitions!B3:F246,5,FALSE)))</f>
        <v>Cap Nut</v>
      </c>
      <c r="F8" s="112"/>
      <c r="G8" s="112"/>
      <c r="H8" s="93"/>
      <c r="I8" s="94"/>
      <c r="J8" s="92" t="s">
        <v>456</v>
      </c>
      <c r="K8" s="116" t="str">
        <f>IF(ISERROR(VLOOKUP(M8,Reference!M6:N100,2,FALSE)), "", VLOOKUP(M8,Reference!M6:N100,2,FALSE))</f>
        <v>K5P51</v>
      </c>
      <c r="L8" s="116"/>
      <c r="M8" s="90" t="str">
        <f>RIGHT(G6,2)</f>
        <v>H7</v>
      </c>
      <c r="N8" s="51"/>
      <c r="O8" s="49"/>
    </row>
    <row r="9" spans="1:18" ht="7.5" customHeight="1" x14ac:dyDescent="0.35">
      <c r="A9" s="50"/>
      <c r="B9" s="51"/>
      <c r="C9" s="91"/>
      <c r="D9" s="92"/>
      <c r="E9" s="95"/>
      <c r="F9" s="95"/>
      <c r="G9" s="95"/>
      <c r="H9" s="93"/>
      <c r="I9" s="94"/>
      <c r="J9" s="94"/>
      <c r="K9" s="94"/>
      <c r="L9" s="94"/>
      <c r="M9" s="90"/>
      <c r="N9" s="51"/>
      <c r="O9" s="49"/>
    </row>
    <row r="10" spans="1:18" ht="16" customHeight="1" x14ac:dyDescent="0.35">
      <c r="A10" s="50"/>
      <c r="B10" s="51"/>
      <c r="C10" s="91"/>
      <c r="D10" s="96" t="s">
        <v>799</v>
      </c>
      <c r="E10" s="116" t="str">
        <f>IF(H10="","",IF(NOT(ISERROR(VLOOKUP(CONCATENATE(LEFT(G6,4),H10),Definitions!B3:E246,4,FALSE))), VLOOKUP(CONCATENATE(LEFT(G6,4),H10),Definitions!B3:E246,4,FALSE), IF(NOT(ISERROR(VLOOKUP(H10, Definitions!D3:E246, 2, FALSE))), VLOOKUP(H10, Definitions!D3:E246,2,FALSE), "NOT FOUND")))</f>
        <v>Unified threads (in)</v>
      </c>
      <c r="F10" s="116"/>
      <c r="G10" s="116"/>
      <c r="H10" s="97" t="str">
        <f>IF(ISERROR(VLOOKUP(LEFT(G6,5), Reference!AF6:AH150,2, FALSE)), IF(ISERROR(VLOOKUP(LEFT(G6,6), Reference!AF6:AH150,2,FALSE)), CalcUnit(G6), CalcUnitV2(G6)), CalcUnitV2(G6))</f>
        <v>UT</v>
      </c>
      <c r="I10" s="94"/>
      <c r="J10" s="92" t="s">
        <v>659</v>
      </c>
      <c r="K10" s="124" t="str">
        <f>IF(ISERROR(VLOOKUP(M10,Reference!U6:V14,2,FALSE)),"",VLOOKUP(M10,Reference!U6:V14,2,FALSE))</f>
        <v/>
      </c>
      <c r="L10" s="124"/>
      <c r="M10" s="90" t="str">
        <f>LEFT(RIGHT(G6,3),1)</f>
        <v>0</v>
      </c>
      <c r="N10" s="51"/>
      <c r="O10" s="49"/>
    </row>
    <row r="11" spans="1:18" ht="7.5" customHeight="1" x14ac:dyDescent="0.35">
      <c r="A11" s="50"/>
      <c r="B11" s="51"/>
      <c r="C11" s="99"/>
      <c r="D11" s="100"/>
      <c r="E11" s="100"/>
      <c r="F11" s="94"/>
      <c r="G11" s="94"/>
      <c r="H11" s="101"/>
      <c r="I11" s="94"/>
      <c r="J11" s="94"/>
      <c r="K11" s="94"/>
      <c r="L11" s="94"/>
      <c r="M11" s="90"/>
      <c r="N11" s="51"/>
      <c r="O11" s="49"/>
    </row>
    <row r="12" spans="1:18" ht="14.5" customHeight="1" x14ac:dyDescent="0.35">
      <c r="A12" s="50"/>
      <c r="B12" s="51"/>
      <c r="C12" s="113" t="s">
        <v>823</v>
      </c>
      <c r="D12" s="113"/>
      <c r="E12" s="117" t="str">
        <f>CalcThreadDes(G6,H10,M14)</f>
        <v>20</v>
      </c>
      <c r="F12" s="117"/>
      <c r="G12" s="102"/>
      <c r="H12" s="101"/>
      <c r="I12" s="94"/>
      <c r="J12" s="92" t="str">
        <f>IF(M12="","Subclassification:",IF(ISERROR(VLOOKUP(LEFT(G6,4)&amp;H10, Definitions!B3:G246, 6, FALSE)), IF(VLOOKUP(LEFT(G6,4), Definitions!C3:G246,5,FALSE)=1, VLOOKUP(M12, Reference!X6:Z14,3,FALSE)&amp;":", VLOOKUP(M12, Reference!AB6:AD14,3,FALSE)&amp;":"), IF(VLOOKUP(LEFT(G6,4)&amp;H10, Definitions!B3:G246,6,FALSE) =1, VLOOKUP(M12, Reference!X6:Z14,3,FALSE)&amp;":", VLOOKUP(M12, Reference!AB6:AD14,3,FALSE)&amp;":")))</f>
        <v>Subclassification:</v>
      </c>
      <c r="K12" s="124" t="str">
        <f>IF(ISERROR(VLOOKUP(LEFT(G6,4)&amp;H10,Definitions!B3:G246,6,FALSE)),IF(ISERROR(VLOOKUP(LEFT(G6,4),Definitions!C3:G246,5,FALSE)), "", IF(VLOOKUP(LEFT(G6,4), Definitions!C3:G246,5,FALSE) = 1, IF(ISERROR(VLOOKUP(M12,Reference!X6:Z50,2,FALSE)), "", VLOOKUP(M12,Reference!X6:Z50,2,FALSE)), IF(ISERROR(VLOOKUP(M12,Reference!AB6:AD50,2,FALSE)), "", VLOOKUP(M12,Reference!AB6:AD50,2,FALSE)))), IF(VLOOKUP(CONCATENATE(LEFT(G6,4),H10),Definitions!B3:G246,6,FALSE)=1, IF(ISERROR(VLOOKUP(M12,Reference!X6:Z50,2,FALSE)),"",VLOOKUP(M12,Reference!X6:Z50,2,FALSE)), IF(ISERROR(VLOOKUP(M12,Reference!AB6:AD50,2,FALSE)),"",VLOOKUP(M12,Reference!AB6:AD50,2,FALSE))))</f>
        <v/>
      </c>
      <c r="L12" s="124"/>
      <c r="M12" s="90" t="str">
        <f>IF(NOT(ISERROR(LEFT(RIGHT(G6,3),1)*1)), "", IF(ISERROR(LEFT(RIGHT(G6,4),1)*1), LEFT(RIGHT(G6,4),1), IF(ISERROR(VLOOKUP(LEFT(RIGHT(G6,3),1), Reference!#REF!,2,FALSE)), LEFT(RIGHT(G6,3),1), "")))</f>
        <v/>
      </c>
      <c r="N12" s="51"/>
      <c r="O12" s="49"/>
    </row>
    <row r="13" spans="1:18" ht="7.5" customHeight="1" x14ac:dyDescent="0.35">
      <c r="A13" s="50"/>
      <c r="B13" s="51"/>
      <c r="C13" s="91"/>
      <c r="D13" s="103"/>
      <c r="E13" s="102"/>
      <c r="F13" s="94"/>
      <c r="G13" s="94"/>
      <c r="H13" s="101"/>
      <c r="I13" s="94"/>
      <c r="J13" s="94"/>
      <c r="K13" s="94"/>
      <c r="L13" s="104"/>
      <c r="M13" s="90"/>
      <c r="N13" s="51"/>
      <c r="O13" s="49"/>
    </row>
    <row r="14" spans="1:18" ht="15.5" x14ac:dyDescent="0.35">
      <c r="A14" s="50"/>
      <c r="B14" s="51"/>
      <c r="C14" s="91"/>
      <c r="D14" s="92" t="str">
        <f>GetLengthClass(G6,H10,M14,E12)</f>
        <v/>
      </c>
      <c r="E14" s="98" t="str">
        <f>IF(ISNUMBER(FIND("*",H14)), REPLACE(H14,FIND("*",H14),1,"."), H14)</f>
        <v/>
      </c>
      <c r="F14" s="98"/>
      <c r="G14" s="94"/>
      <c r="H14" s="97" t="str">
        <f>CalcLength(G6,H10,M14, E12)</f>
        <v/>
      </c>
      <c r="I14" s="94"/>
      <c r="J14" s="92" t="str">
        <f>IF(M14="", "Subclassification:", IF(ISERROR(VLOOKUP(LEFT(G6,4)&amp;M14, Reference!AF6:AH150,3,FALSE)), "Subclassification", VLOOKUP(LEFT(G6,4)&amp;M14, Reference!AF6:AH150,3,FALSE)&amp;":"))</f>
        <v>Subclassification:</v>
      </c>
      <c r="K14" s="112" t="str">
        <f>IF(M14="", "", IF(ISERROR(VLOOKUP(LEFT(G6,4)&amp;M14, Reference!AF6:AG150,2,FALSE)), "", VLOOKUP(LEFT(G6,4)&amp;M14, Reference!AF6:AG150,2,FALSE)))</f>
        <v/>
      </c>
      <c r="L14" s="112"/>
      <c r="M14" s="90" t="str">
        <f>IF(NOT(ISERROR(VLOOKUP(LEFT(G6,5), Reference!AF6:AH150,2, FALSE))), CalcSubClass(G6), IF(NOT(ISERROR(VLOOKUP(LEFT(G6,6), Reference!AF6:AH150,2,FALSE))), CalcSubClass(G6),""))</f>
        <v/>
      </c>
      <c r="N14" s="51"/>
      <c r="O14" s="49"/>
    </row>
    <row r="15" spans="1:18" ht="15.5" x14ac:dyDescent="0.35">
      <c r="A15" s="50"/>
      <c r="B15" s="51"/>
      <c r="C15" s="91"/>
      <c r="D15" s="100"/>
      <c r="E15" s="100"/>
      <c r="F15" s="94"/>
      <c r="G15" s="94"/>
      <c r="H15" s="94"/>
      <c r="I15" s="94"/>
      <c r="J15" s="94"/>
      <c r="K15" s="94"/>
      <c r="L15" s="104"/>
      <c r="M15" s="90"/>
      <c r="N15" s="51"/>
      <c r="O15" s="49"/>
    </row>
    <row r="16" spans="1:18" ht="15.5" x14ac:dyDescent="0.35">
      <c r="A16" s="50"/>
      <c r="B16" s="51"/>
      <c r="C16" s="91"/>
      <c r="D16" s="105" t="s">
        <v>565</v>
      </c>
      <c r="E16" s="115" t="str">
        <f>IF(G6="", "",UPPER(E8&amp;" " &amp;"("&amp;H10&amp;E12&amp;IF(ISERROR(E14*1),")"," X"&amp;" "&amp;E14&amp;")") &amp; IF(K10="", "", "; "&amp;K10&amp; " Plated") ))</f>
        <v>CAP NUT (UT20)</v>
      </c>
      <c r="F16" s="115"/>
      <c r="G16" s="115"/>
      <c r="H16" s="115"/>
      <c r="I16" s="115"/>
      <c r="J16" s="115"/>
      <c r="K16" s="115"/>
      <c r="L16" s="115"/>
      <c r="M16" s="90"/>
      <c r="N16" s="51"/>
      <c r="O16" s="49"/>
    </row>
    <row r="17" spans="1:17" ht="15.5" x14ac:dyDescent="0.35">
      <c r="A17" s="50"/>
      <c r="B17" s="51"/>
      <c r="C17" s="91"/>
      <c r="D17" s="100"/>
      <c r="E17" s="115"/>
      <c r="F17" s="115"/>
      <c r="G17" s="115"/>
      <c r="H17" s="115"/>
      <c r="I17" s="115"/>
      <c r="J17" s="115"/>
      <c r="K17" s="115"/>
      <c r="L17" s="115"/>
      <c r="M17" s="106"/>
      <c r="N17" s="51"/>
      <c r="O17" s="49"/>
    </row>
    <row r="18" spans="1:17" ht="15.5" x14ac:dyDescent="0.35">
      <c r="A18" s="50"/>
      <c r="B18" s="51"/>
      <c r="C18" s="94"/>
      <c r="D18" s="100"/>
      <c r="E18" s="115"/>
      <c r="F18" s="115"/>
      <c r="G18" s="115"/>
      <c r="H18" s="115"/>
      <c r="I18" s="115"/>
      <c r="J18" s="115"/>
      <c r="K18" s="115"/>
      <c r="L18" s="115"/>
      <c r="M18" s="106"/>
      <c r="N18" s="51"/>
      <c r="O18" s="49"/>
      <c r="Q18" s="109"/>
    </row>
    <row r="19" spans="1:17" ht="15.5" x14ac:dyDescent="0.35">
      <c r="A19" s="50"/>
      <c r="B19" s="51"/>
      <c r="C19" s="94"/>
      <c r="D19" s="94"/>
      <c r="E19" s="115"/>
      <c r="F19" s="115"/>
      <c r="G19" s="115"/>
      <c r="H19" s="115"/>
      <c r="I19" s="115"/>
      <c r="J19" s="115"/>
      <c r="K19" s="115"/>
      <c r="L19" s="115"/>
      <c r="M19" s="106"/>
      <c r="N19" s="51"/>
      <c r="O19" s="49"/>
    </row>
    <row r="20" spans="1:17" ht="15.5" x14ac:dyDescent="0.35">
      <c r="A20" s="50"/>
      <c r="B20" s="51"/>
      <c r="C20" s="107"/>
      <c r="D20" s="94"/>
      <c r="E20" s="115"/>
      <c r="F20" s="115"/>
      <c r="G20" s="115"/>
      <c r="H20" s="115"/>
      <c r="I20" s="115"/>
      <c r="J20" s="115"/>
      <c r="K20" s="115"/>
      <c r="L20" s="115"/>
      <c r="M20" s="106"/>
      <c r="N20" s="51"/>
      <c r="O20" s="49"/>
    </row>
    <row r="21" spans="1:17" x14ac:dyDescent="0.35">
      <c r="A21" s="50"/>
      <c r="B21" s="51"/>
      <c r="C21" s="53"/>
      <c r="D21" s="52"/>
      <c r="E21" s="55"/>
      <c r="F21" s="55"/>
      <c r="G21" s="55"/>
      <c r="H21" s="55"/>
      <c r="I21" s="53"/>
      <c r="J21" s="53"/>
      <c r="K21" s="53"/>
      <c r="L21" s="53"/>
      <c r="M21" s="53"/>
      <c r="N21" s="51"/>
      <c r="O21" s="49"/>
    </row>
    <row r="22" spans="1:17" x14ac:dyDescent="0.35">
      <c r="A22" s="50"/>
      <c r="B22" s="51"/>
      <c r="C22" s="51"/>
      <c r="D22" s="53"/>
      <c r="E22" s="53"/>
      <c r="F22" s="53"/>
      <c r="G22" s="53"/>
      <c r="H22" s="53"/>
      <c r="I22" s="51"/>
      <c r="J22" s="51"/>
      <c r="K22" s="51"/>
      <c r="L22" s="51"/>
      <c r="M22" s="51"/>
      <c r="N22" s="51"/>
      <c r="O22" s="49"/>
    </row>
    <row r="23" spans="1:17" x14ac:dyDescent="0.35">
      <c r="A23" s="50"/>
      <c r="B23" s="51"/>
      <c r="C23" s="51"/>
      <c r="D23" s="53"/>
      <c r="E23" s="53"/>
      <c r="F23" s="53"/>
      <c r="G23" s="109"/>
      <c r="H23" s="53"/>
      <c r="I23" s="51"/>
      <c r="J23" s="51"/>
      <c r="K23" s="51"/>
      <c r="L23" s="51"/>
      <c r="M23" s="51"/>
      <c r="N23" s="51"/>
      <c r="O23" s="49"/>
    </row>
    <row r="24" spans="1:17" x14ac:dyDescent="0.35">
      <c r="A24" s="50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49"/>
    </row>
    <row r="25" spans="1:17" x14ac:dyDescent="0.35">
      <c r="A25" s="50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49"/>
    </row>
    <row r="26" spans="1:17" x14ac:dyDescent="0.35">
      <c r="A26" s="49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</row>
    <row r="27" spans="1:17" x14ac:dyDescent="0.35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</row>
  </sheetData>
  <customSheetViews>
    <customSheetView guid="{979F862D-12BF-4A02-A971-1E66B13A5C0F}" scale="80">
      <selection activeCell="G15" sqref="G15"/>
      <pageMargins left="0.7" right="0.7" top="0.75" bottom="0.75" header="0.3" footer="0.3"/>
      <pageSetup paperSize="9" orientation="portrait" r:id="rId1"/>
    </customSheetView>
  </customSheetViews>
  <mergeCells count="10">
    <mergeCell ref="E8:G8"/>
    <mergeCell ref="C12:D12"/>
    <mergeCell ref="G6:J6"/>
    <mergeCell ref="E16:L20"/>
    <mergeCell ref="E10:G10"/>
    <mergeCell ref="K14:L14"/>
    <mergeCell ref="E12:F12"/>
    <mergeCell ref="K8:L8"/>
    <mergeCell ref="K10:L10"/>
    <mergeCell ref="K12:L12"/>
  </mergeCell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27"/>
  <sheetViews>
    <sheetView workbookViewId="0">
      <selection activeCell="E6" sqref="E6:I6"/>
    </sheetView>
  </sheetViews>
  <sheetFormatPr defaultRowHeight="14.5" x14ac:dyDescent="0.35"/>
  <cols>
    <col min="8" max="8" width="4.7265625" customWidth="1"/>
  </cols>
  <sheetData>
    <row r="1" spans="1:15" x14ac:dyDescent="0.35">
      <c r="A1" s="50"/>
      <c r="B1" s="50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</row>
    <row r="2" spans="1:15" x14ac:dyDescent="0.35">
      <c r="A2" s="50"/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49"/>
    </row>
    <row r="3" spans="1:15" ht="21" x14ac:dyDescent="0.5">
      <c r="A3" s="50"/>
      <c r="B3" s="51"/>
      <c r="C3" s="52"/>
      <c r="D3" s="52"/>
      <c r="E3" s="52"/>
      <c r="F3" s="52"/>
      <c r="G3" s="59" t="s">
        <v>807</v>
      </c>
      <c r="H3" s="56"/>
      <c r="I3" s="56"/>
      <c r="J3" s="56"/>
      <c r="K3" s="56"/>
      <c r="L3" s="56"/>
      <c r="M3" s="56"/>
      <c r="N3" s="52"/>
      <c r="O3" s="58"/>
    </row>
    <row r="4" spans="1:15" ht="18.5" x14ac:dyDescent="0.45">
      <c r="A4" s="50"/>
      <c r="B4" s="51"/>
      <c r="C4" s="52"/>
      <c r="D4" s="52"/>
      <c r="E4" s="52"/>
      <c r="F4" s="56"/>
      <c r="G4" s="56"/>
      <c r="H4" s="56"/>
      <c r="I4" s="56"/>
      <c r="J4" s="56"/>
      <c r="K4" s="56"/>
      <c r="L4" s="52"/>
      <c r="M4" s="53"/>
      <c r="N4" s="51"/>
      <c r="O4" s="58"/>
    </row>
    <row r="5" spans="1:15" x14ac:dyDescent="0.35">
      <c r="A5" s="50"/>
      <c r="B5" s="51"/>
      <c r="C5" s="52"/>
      <c r="D5" s="52"/>
      <c r="E5" s="52"/>
      <c r="F5" s="52"/>
      <c r="G5" s="52"/>
      <c r="H5" s="52"/>
      <c r="I5" s="52"/>
      <c r="J5" s="52"/>
      <c r="K5" s="52"/>
      <c r="L5" s="52"/>
      <c r="M5" s="53"/>
      <c r="N5" s="51"/>
      <c r="O5" s="58"/>
    </row>
    <row r="6" spans="1:15" ht="18.5" customHeight="1" x14ac:dyDescent="0.35">
      <c r="A6" s="50"/>
      <c r="B6" s="51"/>
      <c r="C6" s="53"/>
      <c r="D6" s="133" t="s">
        <v>701</v>
      </c>
      <c r="E6" s="132"/>
      <c r="F6" s="132"/>
      <c r="G6" s="132"/>
      <c r="H6" s="132"/>
      <c r="I6" s="132"/>
      <c r="J6" s="134"/>
      <c r="K6" s="54"/>
      <c r="L6" s="54"/>
      <c r="M6" s="54"/>
      <c r="N6" s="54"/>
      <c r="O6" s="58"/>
    </row>
    <row r="7" spans="1:15" ht="29" customHeight="1" x14ac:dyDescent="0.35">
      <c r="A7" s="50"/>
      <c r="B7" s="51"/>
      <c r="C7" s="88"/>
      <c r="D7" s="88" t="s">
        <v>546</v>
      </c>
      <c r="E7" s="88"/>
      <c r="F7" s="88"/>
      <c r="G7" s="88"/>
      <c r="H7" s="89"/>
      <c r="I7" s="88"/>
      <c r="J7" s="88"/>
      <c r="K7" s="88"/>
      <c r="L7" s="88"/>
      <c r="M7" s="90"/>
      <c r="N7" s="51"/>
      <c r="O7" s="49"/>
    </row>
    <row r="8" spans="1:15" ht="15.5" x14ac:dyDescent="0.35">
      <c r="A8" s="50"/>
      <c r="B8" s="51"/>
      <c r="C8" s="91"/>
      <c r="D8" s="92" t="s">
        <v>457</v>
      </c>
      <c r="E8" s="112" t="str">
        <f>IF(G6 = "", "",IF(ISERROR(VLOOKUP((LEFT(G6,4)&amp;H10),Definitions!B3:F246,5,FALSE)), IF(ISERROR(VLOOKUP(LEFT(G6,4), Definitions!C3:F246, 4, FALSE)), "NOT FOUND", VLOOKUP(LEFT(G6,4),Definitions!C3:F246, 4, FALSE)), VLOOKUP((LEFT(G6,4)&amp;H10),Definitions!B3:F246,5,FALSE)))</f>
        <v/>
      </c>
      <c r="F8" s="112"/>
      <c r="G8" s="112"/>
      <c r="H8" s="93"/>
      <c r="I8" s="94"/>
      <c r="J8" s="92" t="s">
        <v>456</v>
      </c>
      <c r="K8" s="116" t="str">
        <f>IF(ISERROR(VLOOKUP(M8,Reference!M6:N100,2,FALSE)), "", VLOOKUP(M8,Reference!M6:N100,2,FALSE))</f>
        <v/>
      </c>
      <c r="L8" s="116"/>
      <c r="M8" s="90" t="str">
        <f>RIGHT(G6,2)</f>
        <v/>
      </c>
      <c r="N8" s="51"/>
      <c r="O8" s="49"/>
    </row>
    <row r="9" spans="1:15" ht="15.5" x14ac:dyDescent="0.35">
      <c r="A9" s="50"/>
      <c r="B9" s="51"/>
      <c r="C9" s="91"/>
      <c r="D9" s="92"/>
      <c r="E9" s="95"/>
      <c r="F9" s="95"/>
      <c r="G9" s="95"/>
      <c r="H9" s="93"/>
      <c r="I9" s="94"/>
      <c r="J9" s="94"/>
      <c r="K9" s="94"/>
      <c r="L9" s="94"/>
      <c r="M9" s="90"/>
      <c r="N9" s="51"/>
      <c r="O9" s="49"/>
    </row>
    <row r="10" spans="1:15" ht="15.5" x14ac:dyDescent="0.35">
      <c r="A10" s="50"/>
      <c r="B10" s="51"/>
      <c r="C10" s="91"/>
      <c r="D10" s="96" t="s">
        <v>799</v>
      </c>
      <c r="E10" s="116" t="str">
        <f>IF(H10="","",IF(NOT(ISERROR(VLOOKUP(CONCATENATE(LEFT(G6,4),H10),Definitions!B3:E246,4,FALSE))), VLOOKUP(CONCATENATE(LEFT(G6,4),H10),Definitions!B3:E246,4,FALSE), IF(NOT(ISERROR(VLOOKUP(H10, Definitions!D3:E246, 2, FALSE))), VLOOKUP(H10, Definitions!D3:E246,2,FALSE), "NOT FOUND")))</f>
        <v/>
      </c>
      <c r="F10" s="116"/>
      <c r="G10" s="116"/>
      <c r="H10" s="97" t="str">
        <f>IF(ISERROR(VLOOKUP(LEFT(G6,5), Reference!AF6:AH150,2, FALSE)), IF(ISERROR(VLOOKUP(LEFT(G6,6), Reference!AF6:AH150,2,FALSE)), CalcUnit(G6), CalcUnitV2(G6)), CalcUnitV2(G6))</f>
        <v/>
      </c>
      <c r="I10" s="94"/>
      <c r="J10" s="92" t="s">
        <v>659</v>
      </c>
      <c r="K10" s="124" t="str">
        <f>IF(ISERROR(VLOOKUP(M10,Reference!U6:V14,2,FALSE)),"",VLOOKUP(M10,Reference!U6:V14,2,FALSE))</f>
        <v/>
      </c>
      <c r="L10" s="124"/>
      <c r="M10" s="90" t="str">
        <f>LEFT(RIGHT(G6,3),1)</f>
        <v/>
      </c>
      <c r="N10" s="51"/>
      <c r="O10" s="49"/>
    </row>
    <row r="11" spans="1:15" ht="15.5" x14ac:dyDescent="0.35">
      <c r="A11" s="50"/>
      <c r="B11" s="51"/>
      <c r="C11" s="99"/>
      <c r="D11" s="100"/>
      <c r="E11" s="100"/>
      <c r="F11" s="94"/>
      <c r="G11" s="94"/>
      <c r="H11" s="101"/>
      <c r="I11" s="94"/>
      <c r="J11" s="94"/>
      <c r="K11" s="94"/>
      <c r="L11" s="94"/>
      <c r="M11" s="90"/>
      <c r="N11" s="51"/>
      <c r="O11" s="49"/>
    </row>
    <row r="12" spans="1:15" ht="15.5" x14ac:dyDescent="0.35">
      <c r="A12" s="50"/>
      <c r="B12" s="51"/>
      <c r="C12" s="113" t="s">
        <v>823</v>
      </c>
      <c r="D12" s="113"/>
      <c r="E12" s="117" t="str">
        <f>CalcThreadDes(G6,H10,M14)</f>
        <v/>
      </c>
      <c r="F12" s="117"/>
      <c r="G12" s="102"/>
      <c r="H12" s="101"/>
      <c r="I12" s="94"/>
      <c r="J12" s="92" t="str">
        <f>IF(M12="","Subclassification:",IF(ISERROR(VLOOKUP(LEFT(G6,4)&amp;H10, Definitions!B3:G246, 6, FALSE)), IF(VLOOKUP(LEFT(G6,4), Definitions!C3:G246,5,FALSE)=1, VLOOKUP(M12, Reference!X6:Z14,3,FALSE)&amp;":", VLOOKUP(M12, Reference!AB6:AD14,3,FALSE)&amp;":"), IF(VLOOKUP(LEFT(G6,4)&amp;H10, Definitions!B3:G246,6,FALSE) =1, VLOOKUP(M12, Reference!X6:Z14,3,FALSE)&amp;":", VLOOKUP(M12, Reference!AB6:AD14,3,FALSE)&amp;":")))</f>
        <v>Subclassification:</v>
      </c>
      <c r="K12" s="124" t="str">
        <f>IF(ISERROR(VLOOKUP(LEFT(G6,4)&amp;H10,Definitions!B3:G246,6,FALSE)),IF(ISERROR(VLOOKUP(LEFT(G6,4),Definitions!C3:G246,5,FALSE)), "", IF(VLOOKUP(LEFT(G6,4), Definitions!C3:G246,5,FALSE) = 1, IF(ISERROR(VLOOKUP(M12,Reference!X6:Z50,2,FALSE)), "", VLOOKUP(M12,Reference!X6:Z50,2,FALSE)), IF(ISERROR(VLOOKUP(M12,Reference!AB6:AD50,2,FALSE)), "", VLOOKUP(M12,Reference!AB6:AD50,2,FALSE)))), IF(VLOOKUP(CONCATENATE(LEFT(G6,4),H10),Definitions!B3:G246,6,FALSE)=1, IF(ISERROR(VLOOKUP(M12,Reference!X6:Z50,2,FALSE)),"",VLOOKUP(M12,Reference!X6:Z50,2,FALSE)), IF(ISERROR(VLOOKUP(M12,Reference!AB6:AD50,2,FALSE)),"",VLOOKUP(M12,Reference!AB6:AD50,2,FALSE))))</f>
        <v/>
      </c>
      <c r="L12" s="124"/>
      <c r="M12" s="90" t="str">
        <f>IF(NOT(ISERROR(LEFT(RIGHT(G6,3),1)*1)), "", IF(ISERROR(LEFT(RIGHT(G6,4),1)*1), LEFT(RIGHT(G6,4),1), IF(ISERROR(VLOOKUP(LEFT(RIGHT(G6,3),1), Reference!#REF!,2,FALSE)), LEFT(RIGHT(G6,3),1), "")))</f>
        <v/>
      </c>
      <c r="N12" s="51"/>
      <c r="O12" s="49"/>
    </row>
    <row r="13" spans="1:15" ht="15.5" x14ac:dyDescent="0.35">
      <c r="A13" s="50"/>
      <c r="B13" s="51"/>
      <c r="C13" s="91"/>
      <c r="D13" s="110"/>
      <c r="E13" s="102"/>
      <c r="F13" s="94"/>
      <c r="G13" s="94"/>
      <c r="H13" s="101"/>
      <c r="I13" s="94"/>
      <c r="J13" s="94"/>
      <c r="K13" s="94"/>
      <c r="L13" s="104"/>
      <c r="M13" s="90"/>
      <c r="N13" s="51"/>
      <c r="O13" s="49"/>
    </row>
    <row r="14" spans="1:15" ht="15.5" x14ac:dyDescent="0.35">
      <c r="A14" s="50"/>
      <c r="B14" s="51"/>
      <c r="C14" s="91"/>
      <c r="D14" s="92" t="str">
        <f>GetLengthClass(G6,H10,M14,E12)</f>
        <v/>
      </c>
      <c r="E14" s="111" t="str">
        <f>IF(ISNUMBER(FIND("*",H14)), REPLACE(H14,FIND("*",H14),1,"."), H14)</f>
        <v/>
      </c>
      <c r="F14" s="111"/>
      <c r="G14" s="94"/>
      <c r="H14" s="97" t="str">
        <f>CalcLength(G6,H10,M14, E12)</f>
        <v/>
      </c>
      <c r="I14" s="94"/>
      <c r="J14" s="92" t="str">
        <f>IF(M14="", "Subclassification:", IF(ISERROR(VLOOKUP(LEFT(G6,4)&amp;M14, Reference!AF6:AH150,3,FALSE)), "Subclassification", VLOOKUP(LEFT(G6,4)&amp;M14, Reference!AF6:AH150,3,FALSE)&amp;":"))</f>
        <v>Subclassification:</v>
      </c>
      <c r="K14" s="112" t="str">
        <f>IF(M14="", "", IF(ISERROR(VLOOKUP(LEFT(G6,4)&amp;M14, Reference!AF6:AG150,2,FALSE)), "", VLOOKUP(LEFT(G6,4)&amp;M14, Reference!AF6:AG150,2,FALSE)))</f>
        <v/>
      </c>
      <c r="L14" s="112"/>
      <c r="M14" s="90" t="str">
        <f>IF(NOT(ISERROR(VLOOKUP(LEFT(G6,5), Reference!AF6:AH150,2, FALSE))), CalcSubClass(G6), IF(NOT(ISERROR(VLOOKUP(LEFT(G6,6), Reference!AF6:AH150,2,FALSE))), CalcSubClass(G6),""))</f>
        <v/>
      </c>
      <c r="N14" s="51"/>
      <c r="O14" s="49"/>
    </row>
    <row r="15" spans="1:15" ht="15.5" x14ac:dyDescent="0.35">
      <c r="A15" s="50"/>
      <c r="B15" s="51"/>
      <c r="C15" s="91"/>
      <c r="D15" s="100"/>
      <c r="E15" s="100"/>
      <c r="F15" s="94"/>
      <c r="G15" s="94"/>
      <c r="H15" s="94"/>
      <c r="I15" s="94"/>
      <c r="J15" s="94"/>
      <c r="K15" s="94"/>
      <c r="L15" s="104"/>
      <c r="M15" s="90"/>
      <c r="N15" s="51"/>
      <c r="O15" s="49"/>
    </row>
    <row r="16" spans="1:15" ht="15.5" x14ac:dyDescent="0.35">
      <c r="A16" s="50"/>
      <c r="B16" s="51"/>
      <c r="C16" s="91"/>
      <c r="D16" s="105" t="s">
        <v>565</v>
      </c>
      <c r="E16" s="115" t="str">
        <f>IF(G6="", "",UPPER(E8&amp;" " &amp;"("&amp;H10&amp;E12&amp;IF(ISERROR(E14*1),")"," X"&amp;" "&amp;E14&amp;")") &amp; IF(K10="", "", "; "&amp;K10&amp; " Plated") ))</f>
        <v/>
      </c>
      <c r="F16" s="115"/>
      <c r="G16" s="115"/>
      <c r="H16" s="115"/>
      <c r="I16" s="115"/>
      <c r="J16" s="115"/>
      <c r="K16" s="115"/>
      <c r="L16" s="115"/>
      <c r="M16" s="90"/>
      <c r="N16" s="51"/>
      <c r="O16" s="49"/>
    </row>
    <row r="17" spans="1:15" ht="15.5" x14ac:dyDescent="0.35">
      <c r="A17" s="50"/>
      <c r="B17" s="51"/>
      <c r="C17" s="91"/>
      <c r="D17" s="100"/>
      <c r="E17" s="115"/>
      <c r="F17" s="115"/>
      <c r="G17" s="115"/>
      <c r="H17" s="115"/>
      <c r="I17" s="115"/>
      <c r="J17" s="115"/>
      <c r="K17" s="115"/>
      <c r="L17" s="115"/>
      <c r="M17" s="106"/>
      <c r="N17" s="51"/>
      <c r="O17" s="49"/>
    </row>
    <row r="18" spans="1:15" ht="15.5" x14ac:dyDescent="0.35">
      <c r="A18" s="50"/>
      <c r="B18" s="51"/>
      <c r="C18" s="94"/>
      <c r="D18" s="100"/>
      <c r="E18" s="115"/>
      <c r="F18" s="115"/>
      <c r="G18" s="115"/>
      <c r="H18" s="115"/>
      <c r="I18" s="115"/>
      <c r="J18" s="115"/>
      <c r="K18" s="115"/>
      <c r="L18" s="115"/>
      <c r="M18" s="106"/>
      <c r="N18" s="51"/>
      <c r="O18" s="49"/>
    </row>
    <row r="19" spans="1:15" ht="15.5" x14ac:dyDescent="0.35">
      <c r="A19" s="50"/>
      <c r="B19" s="51"/>
      <c r="C19" s="94"/>
      <c r="D19" s="94"/>
      <c r="E19" s="115"/>
      <c r="F19" s="115"/>
      <c r="G19" s="115"/>
      <c r="H19" s="115"/>
      <c r="I19" s="115"/>
      <c r="J19" s="115"/>
      <c r="K19" s="115"/>
      <c r="L19" s="115"/>
      <c r="M19" s="106"/>
      <c r="N19" s="51"/>
      <c r="O19" s="49"/>
    </row>
    <row r="20" spans="1:15" ht="15.5" x14ac:dyDescent="0.35">
      <c r="A20" s="50"/>
      <c r="B20" s="51"/>
      <c r="C20" s="107"/>
      <c r="D20" s="94"/>
      <c r="E20" s="115"/>
      <c r="F20" s="115"/>
      <c r="G20" s="115"/>
      <c r="H20" s="115"/>
      <c r="I20" s="115"/>
      <c r="J20" s="115"/>
      <c r="K20" s="115"/>
      <c r="L20" s="115"/>
      <c r="M20" s="106"/>
      <c r="N20" s="51"/>
      <c r="O20" s="49"/>
    </row>
    <row r="21" spans="1:15" x14ac:dyDescent="0.35">
      <c r="A21" s="50"/>
      <c r="B21" s="51"/>
      <c r="C21" s="53"/>
      <c r="D21" s="52"/>
      <c r="E21" s="55"/>
      <c r="F21" s="55"/>
      <c r="G21" s="55"/>
      <c r="H21" s="55"/>
      <c r="I21" s="53"/>
      <c r="J21" s="53"/>
      <c r="K21" s="53"/>
      <c r="L21" s="53"/>
      <c r="M21" s="53"/>
      <c r="N21" s="51"/>
      <c r="O21" s="49"/>
    </row>
    <row r="22" spans="1:15" x14ac:dyDescent="0.35">
      <c r="A22" s="50"/>
      <c r="B22" s="51"/>
      <c r="C22" s="51"/>
      <c r="D22" s="53"/>
      <c r="E22" s="53"/>
      <c r="F22" s="53"/>
      <c r="G22" s="53"/>
      <c r="H22" s="53"/>
      <c r="I22" s="51"/>
      <c r="J22" s="51"/>
      <c r="K22" s="51"/>
      <c r="L22" s="51"/>
      <c r="M22" s="51"/>
      <c r="N22" s="51"/>
      <c r="O22" s="49"/>
    </row>
    <row r="23" spans="1:15" x14ac:dyDescent="0.35">
      <c r="A23" s="50"/>
      <c r="B23" s="51"/>
      <c r="C23" s="51"/>
      <c r="D23" s="53"/>
      <c r="E23" s="53"/>
      <c r="F23" s="53"/>
      <c r="G23" s="109"/>
      <c r="H23" s="53"/>
      <c r="I23" s="51"/>
      <c r="J23" s="51"/>
      <c r="K23" s="51"/>
      <c r="L23" s="51"/>
      <c r="M23" s="51"/>
      <c r="N23" s="51"/>
      <c r="O23" s="49"/>
    </row>
    <row r="24" spans="1:15" x14ac:dyDescent="0.35">
      <c r="A24" s="50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49"/>
    </row>
    <row r="25" spans="1:15" x14ac:dyDescent="0.35">
      <c r="A25" s="50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49"/>
    </row>
    <row r="26" spans="1:15" x14ac:dyDescent="0.35">
      <c r="A26" s="49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</row>
    <row r="27" spans="1:15" x14ac:dyDescent="0.35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</row>
  </sheetData>
  <mergeCells count="10">
    <mergeCell ref="K14:L14"/>
    <mergeCell ref="E16:L20"/>
    <mergeCell ref="E6:I6"/>
    <mergeCell ref="E8:G8"/>
    <mergeCell ref="K8:L8"/>
    <mergeCell ref="E10:G10"/>
    <mergeCell ref="K10:L10"/>
    <mergeCell ref="C12:D12"/>
    <mergeCell ref="E12:F12"/>
    <mergeCell ref="K12:L1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34"/>
  <sheetViews>
    <sheetView zoomScale="70" zoomScaleNormal="70" workbookViewId="0">
      <selection activeCell="F9" sqref="F9"/>
    </sheetView>
  </sheetViews>
  <sheetFormatPr defaultRowHeight="14.5" x14ac:dyDescent="0.35"/>
  <cols>
    <col min="2" max="2" width="21" customWidth="1"/>
    <col min="3" max="3" width="27.1796875" bestFit="1" customWidth="1"/>
    <col min="4" max="4" width="15.90625" customWidth="1"/>
    <col min="5" max="6" width="7.81640625" bestFit="1" customWidth="1"/>
    <col min="7" max="7" width="13.81640625" bestFit="1" customWidth="1"/>
    <col min="9" max="9" width="16.6328125" customWidth="1"/>
    <col min="10" max="10" width="26.36328125" customWidth="1"/>
  </cols>
  <sheetData>
    <row r="1" spans="1:20" ht="15" thickBot="1" x14ac:dyDescent="0.4">
      <c r="A1" s="75"/>
      <c r="B1" s="75"/>
      <c r="C1" s="75"/>
      <c r="D1" s="75"/>
      <c r="E1" s="75"/>
      <c r="F1" s="75"/>
      <c r="G1" s="75"/>
      <c r="H1" s="75"/>
      <c r="I1" s="75"/>
      <c r="J1" s="75"/>
      <c r="K1" s="75"/>
      <c r="L1" s="3"/>
      <c r="M1" s="3"/>
      <c r="N1" s="3"/>
      <c r="O1" s="3"/>
      <c r="P1" s="3"/>
      <c r="Q1" s="3"/>
      <c r="R1" s="3"/>
      <c r="S1" s="3"/>
      <c r="T1" s="3"/>
    </row>
    <row r="2" spans="1:20" ht="25.5" customHeight="1" x14ac:dyDescent="0.5">
      <c r="A2" s="49"/>
      <c r="B2" s="119" t="s">
        <v>42</v>
      </c>
      <c r="C2" s="120"/>
      <c r="D2" s="120"/>
      <c r="E2" s="120"/>
      <c r="F2" s="120"/>
      <c r="G2" s="120"/>
      <c r="H2" s="120"/>
      <c r="I2" s="120"/>
      <c r="J2" s="121"/>
      <c r="K2" s="78"/>
      <c r="L2" s="82"/>
      <c r="M2" s="82"/>
      <c r="N2" s="82"/>
      <c r="O2" s="83"/>
      <c r="P2" s="83"/>
      <c r="Q2" s="83"/>
      <c r="R2" s="84"/>
      <c r="S2" s="84"/>
      <c r="T2" s="3"/>
    </row>
    <row r="3" spans="1:20" x14ac:dyDescent="0.35">
      <c r="A3" s="49"/>
      <c r="B3" s="66"/>
      <c r="C3" s="52"/>
      <c r="D3" s="52"/>
      <c r="E3" s="52"/>
      <c r="F3" s="52"/>
      <c r="G3" s="52"/>
      <c r="H3" s="52"/>
      <c r="I3" s="52"/>
      <c r="J3" s="68"/>
      <c r="K3" s="79" t="s">
        <v>22</v>
      </c>
      <c r="L3" s="85" t="s">
        <v>66</v>
      </c>
      <c r="M3" s="85" t="s">
        <v>67</v>
      </c>
      <c r="N3" s="85" t="s">
        <v>68</v>
      </c>
      <c r="O3" s="85" t="s">
        <v>69</v>
      </c>
      <c r="P3" s="86" t="s">
        <v>71</v>
      </c>
      <c r="Q3" s="86"/>
      <c r="R3" s="86"/>
      <c r="S3" s="83"/>
      <c r="T3" s="3"/>
    </row>
    <row r="4" spans="1:20" x14ac:dyDescent="0.35">
      <c r="A4" s="49"/>
      <c r="B4" s="64" t="s">
        <v>53</v>
      </c>
      <c r="C4" s="9" t="s">
        <v>768</v>
      </c>
      <c r="D4" s="69"/>
      <c r="E4" s="122" t="s">
        <v>72</v>
      </c>
      <c r="F4" s="122"/>
      <c r="G4" s="118" t="s">
        <v>576</v>
      </c>
      <c r="H4" s="118"/>
      <c r="I4" s="52"/>
      <c r="J4" s="73" t="str">
        <f>IF(C4="TSD",LEFT(G4,5),LEFT(G4,4))</f>
        <v>K1G2</v>
      </c>
      <c r="K4" s="79" t="str">
        <f>IF(C4="TSD",MID(G4,6,1),RIGHT(G4,2))</f>
        <v>58</v>
      </c>
      <c r="L4" s="85" t="str">
        <f>IF(C4="TSP",MID(G4,7,3),IF(OR(LEFT(G4,4)="K4CP",LEFT(G4,4)="K2CP",LEFT(G4,4)="K2CS"),MID(G4,6,3),IF(LEFT(G4,4)="K2HN",MID(G4,7,3),MID(G4,7,2))))</f>
        <v>15</v>
      </c>
      <c r="M4" s="85" t="str">
        <f>IF(C4="TSD",MID(G4,9,5),IF(OR(C4="TSA",C4="KP"),MID(G4,10,3),""))</f>
        <v/>
      </c>
      <c r="N4" s="85" t="str">
        <f>IF(SUMPRODUCT(--(NOT(ISERR(SEARCH(R4:R9,J4)))))&gt;0,"UT",IF(ISNUMBER(SEARCH("UH",G4)),"UH",IF(ISNUMBER(SEARCH("MH",G4)),"MH","")))</f>
        <v>UT</v>
      </c>
      <c r="O4" s="86" t="str">
        <f>IF(J4="K4CP","UH","UH")</f>
        <v>UH</v>
      </c>
      <c r="P4" s="86" t="str">
        <f>IF(OR(LEFT(G4,5)="K006U",LEFT(G4,5)="K008U"),"UT",N4)</f>
        <v>UT</v>
      </c>
      <c r="Q4" s="86"/>
      <c r="R4" s="86" t="s">
        <v>11</v>
      </c>
      <c r="S4" s="83"/>
      <c r="T4" s="3"/>
    </row>
    <row r="5" spans="1:20" x14ac:dyDescent="0.35">
      <c r="A5" s="49"/>
      <c r="B5" s="66"/>
      <c r="C5" s="52"/>
      <c r="D5" s="52"/>
      <c r="E5" s="52"/>
      <c r="F5" s="52"/>
      <c r="G5" s="52"/>
      <c r="H5" s="52"/>
      <c r="I5" s="52"/>
      <c r="J5" s="68"/>
      <c r="K5" s="79"/>
      <c r="L5" s="85"/>
      <c r="M5" s="85"/>
      <c r="N5" s="85"/>
      <c r="O5" s="86"/>
      <c r="P5" s="86"/>
      <c r="Q5" s="86"/>
      <c r="R5" s="86" t="s">
        <v>74</v>
      </c>
      <c r="S5" s="83"/>
      <c r="T5" s="3"/>
    </row>
    <row r="6" spans="1:20" x14ac:dyDescent="0.35">
      <c r="A6" s="49"/>
      <c r="B6" s="64" t="s">
        <v>52</v>
      </c>
      <c r="C6" s="10" t="s">
        <v>2</v>
      </c>
      <c r="D6" s="65"/>
      <c r="E6" s="123" t="s">
        <v>73</v>
      </c>
      <c r="F6" s="123"/>
      <c r="G6" s="118" t="str">
        <f>IF(ISERROR(INDEX(Reference!P5:T9,MATCH(Conversion!C4,Reference!P5:P9,0),MATCH(Conversion!C6,Reference!P5:T5,0))),"",INDEX(Reference!P5:T9,MATCH(Conversion!C4,Reference!P5:P9,0),MATCH(Conversion!C6,Reference!P5:T5,0)))</f>
        <v/>
      </c>
      <c r="H6" s="118"/>
      <c r="I6" s="52"/>
      <c r="J6" s="67"/>
      <c r="K6" s="80"/>
      <c r="L6" s="87"/>
      <c r="M6" s="87"/>
      <c r="N6" s="87"/>
      <c r="O6" s="83"/>
      <c r="P6" s="83"/>
      <c r="Q6" s="86"/>
      <c r="R6" s="86" t="s">
        <v>15</v>
      </c>
      <c r="S6" s="83"/>
      <c r="T6" s="3"/>
    </row>
    <row r="7" spans="1:20" x14ac:dyDescent="0.35">
      <c r="A7" s="49"/>
      <c r="B7" s="66"/>
      <c r="C7" s="52"/>
      <c r="D7" s="55"/>
      <c r="E7" s="55"/>
      <c r="F7" s="55"/>
      <c r="G7" s="55"/>
      <c r="H7" s="55"/>
      <c r="I7" s="55"/>
      <c r="J7" s="70"/>
      <c r="K7" s="80"/>
      <c r="L7" s="87"/>
      <c r="M7" s="87"/>
      <c r="N7" s="87"/>
      <c r="O7" s="83"/>
      <c r="P7" s="83"/>
      <c r="Q7" s="86"/>
      <c r="R7" s="86"/>
      <c r="S7" s="83"/>
      <c r="T7" s="3"/>
    </row>
    <row r="8" spans="1:20" ht="1.5" customHeight="1" x14ac:dyDescent="0.35">
      <c r="A8" s="49"/>
      <c r="B8" s="66"/>
      <c r="C8" s="52"/>
      <c r="D8" s="55"/>
      <c r="E8" s="55"/>
      <c r="F8" s="55"/>
      <c r="G8" s="55"/>
      <c r="H8" s="55"/>
      <c r="I8" s="55"/>
      <c r="J8" s="70"/>
      <c r="K8" s="80"/>
      <c r="L8" s="87"/>
      <c r="M8" s="87"/>
      <c r="N8" s="87"/>
      <c r="O8" s="83"/>
      <c r="P8" s="83"/>
      <c r="Q8" s="86"/>
      <c r="R8" s="86"/>
      <c r="S8" s="83"/>
      <c r="T8" s="3"/>
    </row>
    <row r="9" spans="1:20" ht="19" thickBot="1" x14ac:dyDescent="0.5">
      <c r="A9" s="49"/>
      <c r="B9" s="71"/>
      <c r="C9" s="72"/>
      <c r="D9" s="72"/>
      <c r="E9" s="72"/>
      <c r="F9" s="72"/>
      <c r="G9" s="72"/>
      <c r="H9" s="72"/>
      <c r="I9" s="72"/>
      <c r="J9" s="74" t="s">
        <v>445</v>
      </c>
      <c r="K9" s="80"/>
      <c r="L9" s="87"/>
      <c r="M9" s="87"/>
      <c r="N9" s="87"/>
      <c r="O9" s="83"/>
      <c r="P9" s="83"/>
      <c r="Q9" s="86"/>
      <c r="R9" s="86" t="s">
        <v>75</v>
      </c>
      <c r="S9" s="83"/>
      <c r="T9" s="3"/>
    </row>
    <row r="10" spans="1:20" x14ac:dyDescent="0.35">
      <c r="A10" s="49"/>
      <c r="B10" s="49"/>
      <c r="C10" s="75"/>
      <c r="D10" s="75"/>
      <c r="E10" s="75"/>
      <c r="F10" s="75"/>
      <c r="G10" s="75"/>
      <c r="H10" s="75"/>
      <c r="I10" s="75"/>
      <c r="J10" s="75"/>
      <c r="K10" s="81"/>
      <c r="L10" s="85"/>
      <c r="M10" s="85"/>
      <c r="N10" s="85"/>
      <c r="O10" s="85"/>
      <c r="P10" s="86"/>
      <c r="Q10" s="86"/>
      <c r="R10" s="86"/>
      <c r="S10" s="86"/>
      <c r="T10" s="8"/>
    </row>
    <row r="11" spans="1:20" x14ac:dyDescent="0.35">
      <c r="A11" s="49"/>
      <c r="B11" s="49"/>
      <c r="C11" s="49"/>
      <c r="D11" s="75"/>
      <c r="E11" s="75"/>
      <c r="F11" s="75"/>
      <c r="G11" s="75"/>
      <c r="H11" s="75"/>
      <c r="I11" s="75"/>
      <c r="J11" s="75"/>
      <c r="K11" s="80"/>
      <c r="L11" s="87"/>
      <c r="M11" s="87"/>
      <c r="N11" s="87"/>
      <c r="O11" s="83"/>
      <c r="P11" s="83"/>
      <c r="Q11" s="83"/>
      <c r="R11" s="83"/>
      <c r="S11" s="83"/>
      <c r="T11" s="3"/>
    </row>
    <row r="12" spans="1:20" x14ac:dyDescent="0.35">
      <c r="A12" s="49"/>
      <c r="B12" s="49"/>
      <c r="C12" s="49"/>
      <c r="D12" s="75"/>
      <c r="E12" s="75"/>
      <c r="F12" s="75"/>
      <c r="G12" s="77"/>
      <c r="H12" s="77"/>
      <c r="I12" s="75"/>
      <c r="J12" s="77"/>
      <c r="K12" s="80"/>
      <c r="L12" s="87"/>
      <c r="M12" s="87"/>
      <c r="N12" s="87"/>
      <c r="O12" s="83"/>
      <c r="P12" s="83"/>
      <c r="Q12" s="83"/>
      <c r="R12" s="83"/>
      <c r="S12" s="83"/>
      <c r="T12" s="3"/>
    </row>
    <row r="13" spans="1:20" x14ac:dyDescent="0.35">
      <c r="A13" s="49"/>
      <c r="B13" s="49"/>
      <c r="C13" s="49"/>
      <c r="D13" s="49"/>
      <c r="E13" s="49"/>
      <c r="F13" s="49"/>
      <c r="G13" s="49"/>
      <c r="H13" s="49"/>
      <c r="I13" s="75"/>
      <c r="J13" s="75"/>
      <c r="K13" s="63"/>
      <c r="L13" s="5"/>
      <c r="M13" s="5"/>
      <c r="N13" s="5"/>
      <c r="O13" s="8"/>
      <c r="P13" s="8"/>
      <c r="Q13" s="8"/>
      <c r="R13" s="8"/>
      <c r="S13" s="8"/>
      <c r="T13" s="3"/>
    </row>
    <row r="14" spans="1:20" x14ac:dyDescent="0.35">
      <c r="A14" s="49"/>
      <c r="B14" s="49"/>
      <c r="C14" s="49"/>
      <c r="D14" s="75"/>
      <c r="E14" s="75"/>
      <c r="F14" s="49"/>
      <c r="G14" s="49"/>
      <c r="H14" s="49"/>
      <c r="I14" s="75"/>
      <c r="J14" s="75"/>
      <c r="K14" s="63"/>
      <c r="L14" s="5"/>
      <c r="M14" s="5"/>
      <c r="N14" s="5"/>
      <c r="O14" s="8"/>
      <c r="P14" s="8"/>
      <c r="Q14" s="8"/>
      <c r="R14" s="8"/>
      <c r="S14" s="8"/>
      <c r="T14" s="3"/>
    </row>
    <row r="15" spans="1:20" x14ac:dyDescent="0.35">
      <c r="A15" s="49"/>
      <c r="B15" s="49"/>
      <c r="C15" s="49"/>
      <c r="D15" s="49"/>
      <c r="E15" s="49"/>
      <c r="F15" s="49"/>
      <c r="G15" s="49"/>
      <c r="H15" s="49"/>
      <c r="I15" s="49"/>
      <c r="J15" s="49"/>
      <c r="K15" s="76"/>
      <c r="L15" s="4"/>
      <c r="M15" s="4"/>
      <c r="N15" s="4"/>
      <c r="O15" s="29"/>
      <c r="P15" s="29"/>
      <c r="Q15" s="29"/>
      <c r="R15" s="29"/>
      <c r="S15" s="3"/>
      <c r="T15" s="3"/>
    </row>
    <row r="16" spans="1:20" x14ac:dyDescent="0.35">
      <c r="A16" s="49"/>
      <c r="B16" s="49"/>
      <c r="C16" s="49"/>
      <c r="D16" s="49"/>
      <c r="E16" s="49"/>
      <c r="F16" s="49"/>
      <c r="G16" s="49"/>
      <c r="H16" s="49"/>
      <c r="I16" s="49"/>
      <c r="J16" s="49"/>
      <c r="K16" s="76"/>
      <c r="L16" s="4"/>
      <c r="M16" s="4"/>
      <c r="N16" s="4"/>
      <c r="O16" s="29"/>
      <c r="P16" s="29"/>
      <c r="Q16" s="29"/>
      <c r="R16" s="29"/>
      <c r="S16" s="3"/>
      <c r="T16" s="3"/>
    </row>
    <row r="17" spans="1:20" x14ac:dyDescent="0.35">
      <c r="A17" s="49"/>
      <c r="B17" s="49"/>
      <c r="C17" s="49"/>
      <c r="D17" s="49"/>
      <c r="E17" s="49"/>
      <c r="F17" s="49"/>
      <c r="G17" s="49"/>
      <c r="H17" s="49"/>
      <c r="I17" s="49"/>
      <c r="J17" s="49"/>
      <c r="K17" s="76"/>
      <c r="L17" s="4"/>
      <c r="M17" s="4"/>
      <c r="N17" s="4"/>
      <c r="O17" s="29"/>
      <c r="P17" s="29"/>
      <c r="Q17" s="29"/>
      <c r="R17" s="29"/>
      <c r="S17" s="3"/>
      <c r="T17" s="3"/>
    </row>
    <row r="18" spans="1:20" x14ac:dyDescent="0.35">
      <c r="D18" s="3"/>
      <c r="E18" s="3"/>
      <c r="F18" s="3"/>
      <c r="G18" s="3"/>
      <c r="H18" s="3"/>
      <c r="I18" s="3"/>
      <c r="J18" s="3"/>
      <c r="K18" s="4"/>
      <c r="L18" s="4"/>
      <c r="M18" s="4"/>
      <c r="N18" s="4"/>
      <c r="O18" s="18"/>
      <c r="P18" s="18"/>
      <c r="Q18" s="18"/>
      <c r="R18" s="18"/>
    </row>
    <row r="19" spans="1:20" x14ac:dyDescent="0.35">
      <c r="D19" s="3"/>
      <c r="E19" s="3"/>
      <c r="F19" s="3"/>
      <c r="G19" s="3"/>
      <c r="H19" s="3"/>
      <c r="I19" s="3"/>
      <c r="J19" s="3"/>
      <c r="K19" s="4"/>
      <c r="L19" s="4"/>
      <c r="M19" s="4"/>
      <c r="N19" s="4"/>
      <c r="O19" s="18"/>
      <c r="P19" s="18"/>
      <c r="Q19" s="18"/>
      <c r="R19" s="18"/>
    </row>
    <row r="20" spans="1:20" x14ac:dyDescent="0.35">
      <c r="K20" s="4"/>
      <c r="L20" s="4"/>
      <c r="M20" s="4"/>
      <c r="N20" s="4"/>
      <c r="O20" s="18"/>
      <c r="P20" s="18"/>
      <c r="Q20" s="18"/>
      <c r="R20" s="18"/>
    </row>
    <row r="21" spans="1:20" x14ac:dyDescent="0.35">
      <c r="K21" s="4"/>
      <c r="L21" s="4"/>
      <c r="M21" s="4"/>
      <c r="N21" s="4"/>
      <c r="O21" s="18"/>
      <c r="P21" s="18"/>
      <c r="Q21" s="18"/>
      <c r="R21" s="18"/>
    </row>
    <row r="22" spans="1:20" ht="4" customHeight="1" x14ac:dyDescent="0.35">
      <c r="K22" s="4"/>
      <c r="L22" s="4"/>
      <c r="M22" s="4"/>
      <c r="N22" s="4"/>
      <c r="O22" s="18"/>
      <c r="P22" s="18"/>
      <c r="Q22" s="18"/>
      <c r="R22" s="18"/>
    </row>
    <row r="23" spans="1:20" x14ac:dyDescent="0.35">
      <c r="K23" s="4"/>
      <c r="L23" s="4"/>
      <c r="M23" s="4"/>
      <c r="N23" s="4"/>
      <c r="O23" s="18"/>
      <c r="P23" s="18"/>
      <c r="Q23" s="18"/>
      <c r="R23" s="18"/>
    </row>
    <row r="24" spans="1:20" x14ac:dyDescent="0.35">
      <c r="K24" s="5"/>
      <c r="L24" s="5"/>
      <c r="M24" s="7"/>
      <c r="N24" s="7"/>
      <c r="O24" s="6"/>
      <c r="P24" s="6"/>
      <c r="Q24" s="6"/>
      <c r="R24" s="6"/>
    </row>
    <row r="25" spans="1:20" x14ac:dyDescent="0.35">
      <c r="K25" s="8"/>
      <c r="L25" s="8"/>
      <c r="M25" s="8"/>
      <c r="N25" s="8"/>
      <c r="O25" s="6"/>
      <c r="P25" s="6"/>
      <c r="Q25" s="6"/>
      <c r="R25" s="6"/>
    </row>
    <row r="26" spans="1:20" x14ac:dyDescent="0.35">
      <c r="K26" s="8"/>
      <c r="L26" s="8"/>
      <c r="M26" s="8"/>
      <c r="N26" s="8"/>
      <c r="O26" s="6"/>
      <c r="P26" s="6"/>
      <c r="Q26" s="6"/>
      <c r="R26" s="6"/>
    </row>
    <row r="27" spans="1:20" x14ac:dyDescent="0.35">
      <c r="K27" s="7"/>
      <c r="L27" s="8"/>
      <c r="M27" s="8"/>
      <c r="N27" s="8"/>
      <c r="O27" s="6"/>
      <c r="P27" s="6"/>
      <c r="Q27" s="6"/>
      <c r="R27" s="6"/>
    </row>
    <row r="28" spans="1:20" x14ac:dyDescent="0.35">
      <c r="K28" s="8"/>
      <c r="L28" s="8"/>
      <c r="M28" s="8"/>
      <c r="N28" s="8"/>
      <c r="O28" s="6"/>
      <c r="P28" s="6"/>
      <c r="Q28" s="6"/>
      <c r="R28" s="6"/>
    </row>
    <row r="29" spans="1:20" x14ac:dyDescent="0.35">
      <c r="K29" s="8"/>
      <c r="L29" s="8"/>
      <c r="M29" s="8"/>
      <c r="N29" s="8"/>
      <c r="O29" s="6"/>
      <c r="P29" s="6"/>
      <c r="Q29" s="6"/>
      <c r="R29" s="6"/>
    </row>
    <row r="30" spans="1:20" x14ac:dyDescent="0.35">
      <c r="K30" s="3"/>
      <c r="L30" s="3"/>
      <c r="M30" s="3"/>
      <c r="N30" s="3"/>
    </row>
    <row r="31" spans="1:20" x14ac:dyDescent="0.35">
      <c r="K31" s="3"/>
      <c r="L31" s="3"/>
      <c r="M31" s="3"/>
      <c r="N31" s="3"/>
    </row>
    <row r="32" spans="1:20" x14ac:dyDescent="0.35">
      <c r="K32" s="3"/>
      <c r="N32" s="3"/>
    </row>
    <row r="33" spans="11:14" x14ac:dyDescent="0.35">
      <c r="K33" s="3"/>
      <c r="L33" s="3"/>
      <c r="M33" s="3"/>
      <c r="N33" s="3"/>
    </row>
    <row r="34" spans="11:14" x14ac:dyDescent="0.35">
      <c r="K34" s="3"/>
      <c r="L34" s="3"/>
      <c r="M34" s="3"/>
      <c r="N34" s="3"/>
    </row>
  </sheetData>
  <customSheetViews>
    <customSheetView guid="{979F862D-12BF-4A02-A971-1E66B13A5C0F}" scale="70">
      <selection activeCell="F9" sqref="F9"/>
      <pageMargins left="0.7" right="0.7" top="0.75" bottom="0.75" header="0.3" footer="0.3"/>
      <pageSetup paperSize="9" orientation="portrait" r:id="rId1"/>
    </customSheetView>
  </customSheetViews>
  <mergeCells count="5">
    <mergeCell ref="G4:H4"/>
    <mergeCell ref="G6:H6"/>
    <mergeCell ref="B2:J2"/>
    <mergeCell ref="E4:F4"/>
    <mergeCell ref="E6:F6"/>
  </mergeCells>
  <pageMargins left="0.7" right="0.7" top="0.75" bottom="0.75" header="0.3" footer="0.3"/>
  <pageSetup paperSize="9" orientation="portrait" r:id="rId2"/>
  <drawing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R106"/>
  <sheetViews>
    <sheetView zoomScale="55" zoomScaleNormal="70" workbookViewId="0">
      <selection activeCell="C75" sqref="C75"/>
    </sheetView>
  </sheetViews>
  <sheetFormatPr defaultRowHeight="14.5" x14ac:dyDescent="0.35"/>
  <cols>
    <col min="5" max="7" width="19.453125" customWidth="1"/>
    <col min="13" max="13" width="13.81640625" bestFit="1" customWidth="1"/>
    <col min="14" max="14" width="13.81640625" customWidth="1"/>
    <col min="16" max="16" width="6.26953125" hidden="1" customWidth="1"/>
    <col min="17" max="17" width="6.7265625" hidden="1" customWidth="1"/>
    <col min="18" max="18" width="7.26953125" hidden="1" customWidth="1"/>
    <col min="19" max="19" width="5.81640625" hidden="1" customWidth="1"/>
    <col min="20" max="20" width="3.81640625" hidden="1" customWidth="1"/>
    <col min="22" max="22" width="13.81640625" bestFit="1" customWidth="1"/>
    <col min="25" max="25" width="14.6328125" bestFit="1" customWidth="1"/>
    <col min="26" max="26" width="17.6328125" customWidth="1"/>
    <col min="27" max="27" width="8.08984375" customWidth="1"/>
    <col min="28" max="28" width="6.81640625" bestFit="1" customWidth="1"/>
    <col min="29" max="29" width="13.81640625" bestFit="1" customWidth="1"/>
    <col min="30" max="30" width="19.7265625" bestFit="1" customWidth="1"/>
    <col min="32" max="32" width="7.453125" customWidth="1"/>
    <col min="33" max="33" width="17.54296875" bestFit="1" customWidth="1"/>
    <col min="34" max="34" width="20.26953125" bestFit="1" customWidth="1"/>
    <col min="37" max="37" width="18.1796875" bestFit="1" customWidth="1"/>
  </cols>
  <sheetData>
    <row r="2" spans="2:44" ht="21" x14ac:dyDescent="0.5">
      <c r="B2" s="11" t="s">
        <v>41</v>
      </c>
    </row>
    <row r="4" spans="2:44" x14ac:dyDescent="0.35">
      <c r="C4" s="19" t="s">
        <v>76</v>
      </c>
      <c r="I4" s="19" t="s">
        <v>76</v>
      </c>
      <c r="L4" s="19" t="s">
        <v>22</v>
      </c>
      <c r="U4" s="13" t="s">
        <v>477</v>
      </c>
      <c r="V4" s="14"/>
      <c r="X4" t="s">
        <v>516</v>
      </c>
      <c r="AB4" t="s">
        <v>517</v>
      </c>
      <c r="AJ4" t="s">
        <v>809</v>
      </c>
    </row>
    <row r="5" spans="2:44" x14ac:dyDescent="0.35">
      <c r="C5" s="2" t="s">
        <v>1</v>
      </c>
      <c r="D5" s="2" t="s">
        <v>43</v>
      </c>
      <c r="E5" s="2" t="s">
        <v>2</v>
      </c>
      <c r="F5" s="31" t="s">
        <v>488</v>
      </c>
      <c r="G5" s="2"/>
      <c r="H5" s="15"/>
      <c r="I5" s="2" t="s">
        <v>57</v>
      </c>
      <c r="J5" s="2" t="s">
        <v>2</v>
      </c>
      <c r="L5" s="2" t="s">
        <v>1</v>
      </c>
      <c r="M5" s="2" t="s">
        <v>70</v>
      </c>
      <c r="N5" s="2" t="s">
        <v>446</v>
      </c>
      <c r="P5" s="2" t="s">
        <v>54</v>
      </c>
      <c r="Q5" s="2" t="s">
        <v>1</v>
      </c>
      <c r="R5" s="2" t="s">
        <v>43</v>
      </c>
      <c r="S5" s="2" t="s">
        <v>57</v>
      </c>
      <c r="T5" s="2" t="s">
        <v>2</v>
      </c>
      <c r="U5" s="2" t="s">
        <v>72</v>
      </c>
      <c r="V5" s="30" t="s">
        <v>481</v>
      </c>
      <c r="X5" s="34" t="s">
        <v>72</v>
      </c>
      <c r="Y5" s="34" t="s">
        <v>481</v>
      </c>
      <c r="Z5" s="37" t="s">
        <v>511</v>
      </c>
      <c r="AB5" s="34" t="s">
        <v>72</v>
      </c>
      <c r="AC5" s="34" t="s">
        <v>481</v>
      </c>
      <c r="AD5" s="37" t="s">
        <v>511</v>
      </c>
      <c r="AF5" s="40" t="s">
        <v>72</v>
      </c>
      <c r="AG5" s="40" t="s">
        <v>481</v>
      </c>
      <c r="AH5" s="40" t="s">
        <v>511</v>
      </c>
      <c r="AJ5" s="108" t="s">
        <v>72</v>
      </c>
      <c r="AK5" s="108" t="s">
        <v>808</v>
      </c>
      <c r="AL5" s="108" t="s">
        <v>810</v>
      </c>
      <c r="AM5" s="108" t="s">
        <v>26</v>
      </c>
      <c r="AN5" s="108" t="s">
        <v>811</v>
      </c>
      <c r="AO5" s="108" t="s">
        <v>812</v>
      </c>
      <c r="AP5" s="108" t="s">
        <v>813</v>
      </c>
      <c r="AQ5" s="108" t="s">
        <v>814</v>
      </c>
      <c r="AR5" s="108" t="s">
        <v>815</v>
      </c>
    </row>
    <row r="6" spans="2:44" x14ac:dyDescent="0.35">
      <c r="C6" s="1" t="s">
        <v>3</v>
      </c>
      <c r="D6" s="1" t="s">
        <v>44</v>
      </c>
      <c r="E6" s="1" t="s">
        <v>0</v>
      </c>
      <c r="F6" s="32"/>
      <c r="G6" s="1"/>
      <c r="H6" s="13"/>
      <c r="I6" s="1" t="s">
        <v>58</v>
      </c>
      <c r="J6" s="1" t="s">
        <v>62</v>
      </c>
      <c r="L6" s="45"/>
      <c r="M6" s="46" t="s">
        <v>574</v>
      </c>
      <c r="N6" s="46" t="s">
        <v>575</v>
      </c>
      <c r="P6" s="2" t="s">
        <v>1</v>
      </c>
      <c r="Q6" s="1" t="s">
        <v>40</v>
      </c>
      <c r="R6" s="1" t="e">
        <f>CONCATENATE(VLOOKUP(Conversion!$J$4,Reference!$C$6:$D$100,2,FALSE),Conversion!$N$4,Conversion!$L$4,0,RIGHT(Conversion!$M$4,3),0,VLOOKUP(Conversion!$K$4,Reference!$L$7:$M$19,2,FALSE))</f>
        <v>#N/A</v>
      </c>
      <c r="S6" s="1" t="s">
        <v>40</v>
      </c>
      <c r="T6" s="1" t="e">
        <f>CONCATENATE(VLOOKUP(Conversion!J4,Reference!C6:E100,3,FALSE),Conversion!N4,Conversion!L4," X ",RIGHT(Conversion!M4,3),VLOOKUP(Conversion!J4,Reference!C6:E100,4,FALSE),VLOOKUP(Conversion!K4,Reference!L7:M19,2,FALSE))</f>
        <v>#N/A</v>
      </c>
      <c r="U6" s="1" t="s">
        <v>479</v>
      </c>
      <c r="V6" s="12" t="s">
        <v>491</v>
      </c>
      <c r="X6" s="1"/>
      <c r="Y6" s="1" t="s">
        <v>513</v>
      </c>
      <c r="Z6" s="17" t="s">
        <v>512</v>
      </c>
      <c r="AA6" s="35"/>
      <c r="AB6" s="1" t="s">
        <v>521</v>
      </c>
      <c r="AC6" s="1" t="s">
        <v>524</v>
      </c>
      <c r="AD6" s="17" t="s">
        <v>526</v>
      </c>
      <c r="AF6" s="17" t="s">
        <v>619</v>
      </c>
      <c r="AG6" s="17" t="s">
        <v>567</v>
      </c>
      <c r="AH6" s="17" t="s">
        <v>570</v>
      </c>
      <c r="AJ6" s="1" t="s">
        <v>816</v>
      </c>
      <c r="AK6" s="1" t="s">
        <v>816</v>
      </c>
      <c r="AL6" s="1">
        <v>11</v>
      </c>
      <c r="AM6" s="1">
        <v>20</v>
      </c>
      <c r="AN6" s="1">
        <v>0.8</v>
      </c>
      <c r="AO6" s="1">
        <v>24</v>
      </c>
      <c r="AP6" s="1">
        <v>14</v>
      </c>
      <c r="AQ6" s="1">
        <v>9</v>
      </c>
      <c r="AR6" s="1">
        <v>5</v>
      </c>
    </row>
    <row r="7" spans="2:44" x14ac:dyDescent="0.35">
      <c r="C7" s="1" t="s">
        <v>4</v>
      </c>
      <c r="D7" s="1" t="s">
        <v>44</v>
      </c>
      <c r="E7" s="1" t="s">
        <v>0</v>
      </c>
      <c r="F7" s="32"/>
      <c r="G7" s="1"/>
      <c r="H7" s="13"/>
      <c r="I7" s="1" t="s">
        <v>59</v>
      </c>
      <c r="J7" s="1" t="s">
        <v>63</v>
      </c>
      <c r="L7" s="1"/>
      <c r="M7" s="12" t="s">
        <v>496</v>
      </c>
      <c r="N7" s="12" t="s">
        <v>497</v>
      </c>
      <c r="P7" s="2" t="s">
        <v>43</v>
      </c>
      <c r="Q7" s="1" t="e">
        <f>CONCATENATE(INDEX(Reference!C6:C100,MATCH(Conversion!J4,Reference!D6:D100,0)),INDEX(Reference!L7:L19,MATCH(Conversion!K4,Reference!M9:M29,0)),Conversion!L4,"L0",Conversion!M4," ","(",Conversion!N4,")")</f>
        <v>#N/A</v>
      </c>
      <c r="R7" s="1" t="s">
        <v>40</v>
      </c>
      <c r="S7" s="1" t="s">
        <v>40</v>
      </c>
      <c r="T7" s="1" t="e">
        <f>CONCATENATE(VLOOKUP(Conversion!J4,Reference!D6:E100,2,FALSE),Conversion!P4,Conversion!L4," X ",Conversion!M4,VLOOKUP(LEFT(Conversion!G4,4),Reference!D6:G100,3,FALSE),Conversion!K4)</f>
        <v>#N/A</v>
      </c>
      <c r="U7" s="1" t="s">
        <v>478</v>
      </c>
      <c r="V7" s="12" t="s">
        <v>492</v>
      </c>
      <c r="X7" s="1" t="s">
        <v>514</v>
      </c>
      <c r="Y7" s="1" t="s">
        <v>515</v>
      </c>
      <c r="Z7" s="17" t="s">
        <v>512</v>
      </c>
      <c r="AA7" s="35"/>
      <c r="AB7" s="1" t="s">
        <v>25</v>
      </c>
      <c r="AC7" s="1" t="s">
        <v>525</v>
      </c>
      <c r="AD7" s="17" t="s">
        <v>526</v>
      </c>
      <c r="AF7" s="17" t="s">
        <v>620</v>
      </c>
      <c r="AG7" s="17" t="s">
        <v>568</v>
      </c>
      <c r="AH7" s="17" t="s">
        <v>570</v>
      </c>
      <c r="AJ7" s="1" t="s">
        <v>817</v>
      </c>
      <c r="AK7" s="1" t="s">
        <v>817</v>
      </c>
      <c r="AL7" s="1">
        <v>13</v>
      </c>
      <c r="AM7" s="1">
        <v>24</v>
      </c>
      <c r="AN7" s="1">
        <v>0.8</v>
      </c>
      <c r="AO7" s="1">
        <v>27</v>
      </c>
      <c r="AP7" s="1">
        <v>18</v>
      </c>
      <c r="AQ7" s="1">
        <v>10</v>
      </c>
      <c r="AR7" s="1">
        <v>5</v>
      </c>
    </row>
    <row r="8" spans="2:44" x14ac:dyDescent="0.35">
      <c r="C8" s="1" t="s">
        <v>5</v>
      </c>
      <c r="D8" s="1" t="s">
        <v>45</v>
      </c>
      <c r="E8" s="1" t="s">
        <v>16</v>
      </c>
      <c r="F8" s="32"/>
      <c r="G8" s="1"/>
      <c r="H8" s="13"/>
      <c r="I8" s="1" t="s">
        <v>60</v>
      </c>
      <c r="J8" s="1" t="s">
        <v>64</v>
      </c>
      <c r="L8" s="1"/>
      <c r="M8" s="12" t="s">
        <v>733</v>
      </c>
      <c r="N8" s="12" t="s">
        <v>734</v>
      </c>
      <c r="P8" s="2" t="s">
        <v>57</v>
      </c>
      <c r="Q8" s="1" t="s">
        <v>40</v>
      </c>
      <c r="R8" s="1" t="s">
        <v>40</v>
      </c>
      <c r="S8" s="1" t="s">
        <v>40</v>
      </c>
      <c r="T8" s="1" t="e">
        <f>CONCATENATE(VLOOKUP(Conversion!J4,Reference!I6:J100,2,FALSE),IF(Conversion!J4="S2N1",4,""),IF(Conversion!J4 = "S2W1",LEFT(Conversion!N4,2),LEFT(Conversion!N4,1)),IF(Conversion!J4="S2W1",LEFT(Conversion!L4,2),Conversion!L4),Conversion!K4)</f>
        <v>#N/A</v>
      </c>
      <c r="U8" s="17" t="s">
        <v>187</v>
      </c>
      <c r="V8" s="12" t="s">
        <v>492</v>
      </c>
      <c r="X8" s="1" t="s">
        <v>521</v>
      </c>
      <c r="Y8" s="1" t="s">
        <v>522</v>
      </c>
      <c r="Z8" s="17" t="s">
        <v>523</v>
      </c>
      <c r="AA8" s="35"/>
      <c r="AB8" s="1"/>
      <c r="AC8" s="1" t="s">
        <v>527</v>
      </c>
      <c r="AD8" s="17" t="s">
        <v>530</v>
      </c>
      <c r="AF8" s="17" t="s">
        <v>621</v>
      </c>
      <c r="AG8" s="17" t="s">
        <v>569</v>
      </c>
      <c r="AH8" s="17" t="s">
        <v>571</v>
      </c>
      <c r="AJ8" s="1" t="s">
        <v>818</v>
      </c>
      <c r="AK8" s="1" t="s">
        <v>818</v>
      </c>
      <c r="AL8" s="1">
        <v>17</v>
      </c>
      <c r="AM8" s="1">
        <v>30</v>
      </c>
      <c r="AN8" s="1">
        <v>1.2</v>
      </c>
      <c r="AO8" s="1">
        <v>32</v>
      </c>
      <c r="AP8" s="1">
        <v>24</v>
      </c>
      <c r="AQ8" s="1">
        <v>12</v>
      </c>
      <c r="AR8" s="1">
        <v>6</v>
      </c>
    </row>
    <row r="9" spans="2:44" x14ac:dyDescent="0.35">
      <c r="C9" s="1" t="s">
        <v>6</v>
      </c>
      <c r="D9" s="1" t="s">
        <v>46</v>
      </c>
      <c r="E9" s="1" t="s">
        <v>16</v>
      </c>
      <c r="F9" s="32" t="s">
        <v>27</v>
      </c>
      <c r="G9" s="1" t="s">
        <v>458</v>
      </c>
      <c r="H9" s="13"/>
      <c r="I9" s="1" t="s">
        <v>61</v>
      </c>
      <c r="J9" s="1" t="s">
        <v>65</v>
      </c>
      <c r="L9" s="1" t="s">
        <v>23</v>
      </c>
      <c r="M9" s="12" t="s">
        <v>30</v>
      </c>
      <c r="N9" s="12" t="s">
        <v>447</v>
      </c>
      <c r="P9" s="2" t="s">
        <v>2</v>
      </c>
      <c r="Q9" s="1" t="e">
        <f>CONCATENATE(INDEX(Reference!C6:C100,MATCH(Conversion!J4,Reference!E6:E100,0)),INDEX(Reference!L7:L19,MATCH(Conversion!K4,Reference!M9:M29,0)),Conversion!L4,"L0",Conversion!M4," ","(",Conversion!N4,")")</f>
        <v>#N/A</v>
      </c>
      <c r="R9" s="1" t="e">
        <f>CONCATENATE(INDEX(Reference!D6:D100,MATCH(Conversion!J4,Reference!E6:E100,0)),Conversion!N4,Conversion!L4,0,Conversion!M4,0,Conversion!K4)</f>
        <v>#N/A</v>
      </c>
      <c r="S9" s="1" t="e">
        <f>CONCATENATE(INDEX(I6:I100,MATCH(Conversion!J4,Reference!J6:J100,0)),Conversion!O4,IF(Conversion!J4="K4CP",RIGHT(Conversion!L4,2),Conversion!L4),Conversion!K4)</f>
        <v>#N/A</v>
      </c>
      <c r="T9" s="1" t="s">
        <v>40</v>
      </c>
      <c r="U9" s="17" t="s">
        <v>78</v>
      </c>
      <c r="V9" s="12" t="s">
        <v>493</v>
      </c>
      <c r="X9" s="17" t="s">
        <v>25</v>
      </c>
      <c r="Y9" s="17" t="s">
        <v>656</v>
      </c>
      <c r="Z9" s="17" t="s">
        <v>657</v>
      </c>
      <c r="AB9" s="1" t="s">
        <v>26</v>
      </c>
      <c r="AC9" s="1" t="s">
        <v>528</v>
      </c>
      <c r="AD9" s="17" t="s">
        <v>530</v>
      </c>
      <c r="AF9" s="17" t="s">
        <v>622</v>
      </c>
      <c r="AG9" s="17" t="s">
        <v>569</v>
      </c>
      <c r="AH9" s="17" t="s">
        <v>572</v>
      </c>
      <c r="AJ9" s="1" t="s">
        <v>819</v>
      </c>
      <c r="AK9" s="1" t="s">
        <v>819</v>
      </c>
      <c r="AL9" s="1">
        <v>21</v>
      </c>
      <c r="AM9" s="1">
        <v>38</v>
      </c>
      <c r="AN9" s="1">
        <v>1.2</v>
      </c>
      <c r="AO9" s="1">
        <v>36</v>
      </c>
      <c r="AP9" s="1">
        <v>28</v>
      </c>
      <c r="AQ9" s="1">
        <v>15</v>
      </c>
      <c r="AR9" s="1">
        <v>8</v>
      </c>
    </row>
    <row r="10" spans="2:44" x14ac:dyDescent="0.35">
      <c r="C10" s="1" t="s">
        <v>7</v>
      </c>
      <c r="D10" s="1" t="s">
        <v>47</v>
      </c>
      <c r="E10" s="1" t="s">
        <v>17</v>
      </c>
      <c r="F10" s="32"/>
      <c r="G10" s="1"/>
      <c r="H10" s="13"/>
      <c r="I10" s="1"/>
      <c r="J10" s="1"/>
      <c r="L10" s="1"/>
      <c r="M10" s="12" t="s">
        <v>507</v>
      </c>
      <c r="N10" s="12" t="s">
        <v>508</v>
      </c>
      <c r="Q10" s="13"/>
      <c r="R10" s="13"/>
      <c r="S10" s="13"/>
      <c r="T10" s="13"/>
      <c r="U10" s="1" t="s">
        <v>24</v>
      </c>
      <c r="V10" s="12" t="s">
        <v>484</v>
      </c>
      <c r="X10" s="17" t="s">
        <v>26</v>
      </c>
      <c r="Y10" s="17" t="s">
        <v>658</v>
      </c>
      <c r="Z10" s="17" t="s">
        <v>657</v>
      </c>
      <c r="AB10" s="1" t="s">
        <v>514</v>
      </c>
      <c r="AC10" s="1" t="s">
        <v>529</v>
      </c>
      <c r="AD10" s="17" t="s">
        <v>530</v>
      </c>
      <c r="AF10" s="17" t="s">
        <v>579</v>
      </c>
      <c r="AG10" s="17" t="s">
        <v>581</v>
      </c>
      <c r="AH10" s="17" t="s">
        <v>585</v>
      </c>
      <c r="AJ10" s="1" t="s">
        <v>820</v>
      </c>
      <c r="AK10" s="1" t="s">
        <v>820</v>
      </c>
      <c r="AL10" s="1">
        <v>25</v>
      </c>
      <c r="AM10" s="1">
        <v>45</v>
      </c>
      <c r="AN10" s="1">
        <v>1.6</v>
      </c>
      <c r="AO10" s="1">
        <v>45</v>
      </c>
      <c r="AP10" s="1">
        <v>35</v>
      </c>
      <c r="AQ10" s="1">
        <v>18</v>
      </c>
      <c r="AR10" s="1">
        <v>10</v>
      </c>
    </row>
    <row r="11" spans="2:44" x14ac:dyDescent="0.35">
      <c r="C11" s="1" t="s">
        <v>8</v>
      </c>
      <c r="D11" s="1" t="s">
        <v>48</v>
      </c>
      <c r="E11" s="1" t="s">
        <v>18</v>
      </c>
      <c r="F11" s="32"/>
      <c r="G11" s="1"/>
      <c r="H11" s="13"/>
      <c r="I11" s="1"/>
      <c r="J11" s="1"/>
      <c r="L11" s="1" t="s">
        <v>24</v>
      </c>
      <c r="M11" s="12" t="s">
        <v>31</v>
      </c>
      <c r="N11" s="12" t="s">
        <v>498</v>
      </c>
      <c r="P11" s="15" t="s">
        <v>55</v>
      </c>
      <c r="Q11" s="13"/>
      <c r="R11" s="13"/>
      <c r="S11" s="13"/>
      <c r="T11" s="13"/>
      <c r="U11" s="1"/>
      <c r="V11" s="12"/>
      <c r="X11" s="17" t="s">
        <v>27</v>
      </c>
      <c r="Y11" s="17" t="s">
        <v>513</v>
      </c>
      <c r="Z11" s="17" t="s">
        <v>657</v>
      </c>
      <c r="AB11" s="1"/>
      <c r="AC11" s="17" t="s">
        <v>641</v>
      </c>
      <c r="AD11" s="17" t="s">
        <v>642</v>
      </c>
      <c r="AF11" s="17" t="s">
        <v>586</v>
      </c>
      <c r="AG11" s="17" t="s">
        <v>587</v>
      </c>
      <c r="AH11" s="17" t="s">
        <v>585</v>
      </c>
      <c r="AJ11" s="1" t="s">
        <v>821</v>
      </c>
      <c r="AK11" s="1" t="s">
        <v>821</v>
      </c>
      <c r="AL11" s="1">
        <v>31</v>
      </c>
      <c r="AM11" s="1">
        <v>52</v>
      </c>
      <c r="AN11" s="1">
        <v>1.6</v>
      </c>
      <c r="AO11" s="1">
        <v>52</v>
      </c>
      <c r="AP11" s="1">
        <v>42</v>
      </c>
      <c r="AQ11" s="1">
        <v>21</v>
      </c>
      <c r="AR11" s="1">
        <v>11</v>
      </c>
    </row>
    <row r="12" spans="2:44" x14ac:dyDescent="0.35">
      <c r="C12" s="1" t="s">
        <v>9</v>
      </c>
      <c r="D12" s="1" t="s">
        <v>48</v>
      </c>
      <c r="E12" s="1" t="s">
        <v>18</v>
      </c>
      <c r="F12" s="32"/>
      <c r="G12" s="1"/>
      <c r="H12" s="13"/>
      <c r="I12" s="1"/>
      <c r="J12" s="1"/>
      <c r="L12" s="1"/>
      <c r="M12" s="12" t="s">
        <v>37</v>
      </c>
      <c r="N12" s="12" t="s">
        <v>448</v>
      </c>
      <c r="P12" s="15" t="s">
        <v>56</v>
      </c>
      <c r="Q12" s="13"/>
      <c r="R12" s="13"/>
      <c r="S12" s="13"/>
      <c r="T12" s="13"/>
      <c r="U12" s="1"/>
      <c r="V12" s="12"/>
      <c r="X12" s="44" t="s">
        <v>29</v>
      </c>
      <c r="Y12" s="44" t="s">
        <v>660</v>
      </c>
      <c r="Z12" s="44" t="s">
        <v>662</v>
      </c>
      <c r="AB12" s="1" t="s">
        <v>27</v>
      </c>
      <c r="AC12" s="17" t="s">
        <v>643</v>
      </c>
      <c r="AD12" s="17" t="s">
        <v>642</v>
      </c>
      <c r="AF12" s="17" t="s">
        <v>580</v>
      </c>
      <c r="AG12" s="17" t="s">
        <v>582</v>
      </c>
      <c r="AH12" s="17" t="s">
        <v>585</v>
      </c>
      <c r="AJ12" s="1" t="s">
        <v>822</v>
      </c>
      <c r="AK12" s="1" t="s">
        <v>822</v>
      </c>
      <c r="AL12" s="1">
        <v>37</v>
      </c>
      <c r="AM12" s="1">
        <v>65</v>
      </c>
      <c r="AN12" s="1">
        <v>1.6</v>
      </c>
      <c r="AO12" s="1">
        <v>62</v>
      </c>
      <c r="AP12" s="1">
        <v>52</v>
      </c>
      <c r="AQ12" s="1">
        <v>26</v>
      </c>
      <c r="AR12" s="1">
        <v>13</v>
      </c>
    </row>
    <row r="13" spans="2:44" x14ac:dyDescent="0.35">
      <c r="C13" s="1" t="s">
        <v>10</v>
      </c>
      <c r="D13" s="1" t="s">
        <v>49</v>
      </c>
      <c r="E13" s="1" t="s">
        <v>19</v>
      </c>
      <c r="F13" s="32"/>
      <c r="G13" s="1"/>
      <c r="H13" s="13"/>
      <c r="I13" s="1"/>
      <c r="J13" s="1"/>
      <c r="L13" s="1" t="s">
        <v>25</v>
      </c>
      <c r="M13" s="12" t="s">
        <v>32</v>
      </c>
      <c r="N13" s="1" t="s">
        <v>449</v>
      </c>
      <c r="U13" s="1"/>
      <c r="V13" s="12"/>
      <c r="X13" s="44" t="s">
        <v>663</v>
      </c>
      <c r="Y13" s="44" t="s">
        <v>664</v>
      </c>
      <c r="Z13" s="44" t="s">
        <v>662</v>
      </c>
      <c r="AB13" s="44" t="s">
        <v>663</v>
      </c>
      <c r="AC13" s="44" t="s">
        <v>641</v>
      </c>
      <c r="AD13" s="44" t="s">
        <v>797</v>
      </c>
      <c r="AF13" s="17" t="s">
        <v>588</v>
      </c>
      <c r="AG13" s="17" t="s">
        <v>594</v>
      </c>
      <c r="AH13" s="17" t="s">
        <v>585</v>
      </c>
    </row>
    <row r="14" spans="2:44" x14ac:dyDescent="0.35">
      <c r="C14" s="1" t="s">
        <v>11</v>
      </c>
      <c r="D14" s="1" t="s">
        <v>49</v>
      </c>
      <c r="E14" s="1" t="s">
        <v>19</v>
      </c>
      <c r="F14" s="32"/>
      <c r="G14" s="1"/>
      <c r="H14" s="13"/>
      <c r="I14" s="1"/>
      <c r="J14" s="1"/>
      <c r="L14" s="1" t="s">
        <v>26</v>
      </c>
      <c r="M14" s="12" t="s">
        <v>33</v>
      </c>
      <c r="N14" s="12" t="s">
        <v>509</v>
      </c>
      <c r="U14" s="1"/>
      <c r="V14" s="12"/>
      <c r="X14" s="44" t="s">
        <v>78</v>
      </c>
      <c r="Y14" s="44" t="s">
        <v>665</v>
      </c>
      <c r="Z14" s="44" t="s">
        <v>662</v>
      </c>
      <c r="AF14" s="17" t="s">
        <v>589</v>
      </c>
      <c r="AG14" s="17" t="s">
        <v>595</v>
      </c>
      <c r="AH14" s="17" t="s">
        <v>585</v>
      </c>
    </row>
    <row r="15" spans="2:44" x14ac:dyDescent="0.35">
      <c r="C15" s="1" t="s">
        <v>12</v>
      </c>
      <c r="D15" s="1" t="s">
        <v>50</v>
      </c>
      <c r="E15" s="1" t="s">
        <v>20</v>
      </c>
      <c r="F15" s="32"/>
      <c r="G15" s="1"/>
      <c r="H15" s="13"/>
      <c r="I15" s="1"/>
      <c r="J15" s="1"/>
      <c r="L15" s="1" t="s">
        <v>40</v>
      </c>
      <c r="M15" s="12" t="s">
        <v>735</v>
      </c>
      <c r="N15" s="12" t="s">
        <v>736</v>
      </c>
      <c r="X15" s="44" t="s">
        <v>479</v>
      </c>
      <c r="Y15" s="44" t="s">
        <v>800</v>
      </c>
      <c r="Z15" s="44" t="s">
        <v>801</v>
      </c>
      <c r="AF15" s="17" t="s">
        <v>590</v>
      </c>
      <c r="AG15" s="17" t="s">
        <v>596</v>
      </c>
      <c r="AH15" s="17" t="s">
        <v>585</v>
      </c>
    </row>
    <row r="16" spans="2:44" x14ac:dyDescent="0.35">
      <c r="C16" s="1" t="s">
        <v>13</v>
      </c>
      <c r="D16" s="1" t="s">
        <v>50</v>
      </c>
      <c r="E16" s="1" t="s">
        <v>20</v>
      </c>
      <c r="F16" s="32"/>
      <c r="G16" s="1"/>
      <c r="H16" s="13"/>
      <c r="I16" s="1"/>
      <c r="J16" s="1"/>
      <c r="L16" s="1" t="s">
        <v>40</v>
      </c>
      <c r="M16" s="12" t="s">
        <v>499</v>
      </c>
      <c r="N16" s="12" t="s">
        <v>500</v>
      </c>
      <c r="AF16" s="17" t="s">
        <v>591</v>
      </c>
      <c r="AG16" s="17" t="s">
        <v>597</v>
      </c>
      <c r="AH16" s="17" t="s">
        <v>585</v>
      </c>
    </row>
    <row r="17" spans="3:34" x14ac:dyDescent="0.35">
      <c r="C17" s="1" t="s">
        <v>14</v>
      </c>
      <c r="D17" s="1" t="s">
        <v>51</v>
      </c>
      <c r="E17" s="1" t="s">
        <v>21</v>
      </c>
      <c r="F17" s="32"/>
      <c r="G17" s="1"/>
      <c r="H17" s="13"/>
      <c r="I17" s="1"/>
      <c r="J17" s="1"/>
      <c r="L17" s="1"/>
      <c r="M17" s="12" t="s">
        <v>501</v>
      </c>
      <c r="N17" s="12" t="s">
        <v>502</v>
      </c>
      <c r="AF17" s="17" t="s">
        <v>592</v>
      </c>
      <c r="AG17" s="17" t="s">
        <v>598</v>
      </c>
      <c r="AH17" s="17" t="s">
        <v>585</v>
      </c>
    </row>
    <row r="18" spans="3:34" x14ac:dyDescent="0.35">
      <c r="C18" s="1" t="s">
        <v>15</v>
      </c>
      <c r="D18" s="1" t="s">
        <v>51</v>
      </c>
      <c r="E18" s="1" t="s">
        <v>21</v>
      </c>
      <c r="F18" s="32"/>
      <c r="G18" s="1"/>
      <c r="H18" s="13"/>
      <c r="I18" s="1"/>
      <c r="J18" s="1"/>
      <c r="L18" s="1"/>
      <c r="M18" s="12" t="s">
        <v>577</v>
      </c>
      <c r="N18" s="12" t="s">
        <v>578</v>
      </c>
      <c r="AF18" s="17" t="s">
        <v>593</v>
      </c>
      <c r="AG18" s="17" t="s">
        <v>599</v>
      </c>
      <c r="AH18" s="17" t="s">
        <v>585</v>
      </c>
    </row>
    <row r="19" spans="3:34" x14ac:dyDescent="0.35">
      <c r="C19" s="1"/>
      <c r="D19" s="1" t="s">
        <v>77</v>
      </c>
      <c r="E19" s="1" t="s">
        <v>21</v>
      </c>
      <c r="F19" s="32" t="s">
        <v>78</v>
      </c>
      <c r="G19" s="1" t="s">
        <v>480</v>
      </c>
      <c r="H19" s="13"/>
      <c r="I19" s="1"/>
      <c r="J19" s="1"/>
      <c r="L19" s="1" t="s">
        <v>28</v>
      </c>
      <c r="M19" s="12" t="s">
        <v>35</v>
      </c>
      <c r="N19" s="12" t="s">
        <v>450</v>
      </c>
      <c r="AF19" s="17" t="s">
        <v>600</v>
      </c>
      <c r="AG19" s="17" t="s">
        <v>609</v>
      </c>
      <c r="AH19" s="17" t="s">
        <v>585</v>
      </c>
    </row>
    <row r="20" spans="3:34" x14ac:dyDescent="0.35">
      <c r="C20" s="1"/>
      <c r="D20" s="1"/>
      <c r="E20" s="1"/>
      <c r="F20" s="32"/>
      <c r="G20" s="1"/>
      <c r="I20" s="16"/>
      <c r="J20" s="16"/>
      <c r="L20" s="1"/>
      <c r="M20" s="12" t="s">
        <v>503</v>
      </c>
      <c r="N20" s="12" t="s">
        <v>504</v>
      </c>
      <c r="AF20" s="17" t="s">
        <v>601</v>
      </c>
      <c r="AG20" s="17" t="s">
        <v>587</v>
      </c>
      <c r="AH20" s="17" t="s">
        <v>585</v>
      </c>
    </row>
    <row r="21" spans="3:34" x14ac:dyDescent="0.35">
      <c r="C21" s="1"/>
      <c r="D21" s="1"/>
      <c r="E21" s="1"/>
      <c r="F21" s="32"/>
      <c r="G21" s="1"/>
      <c r="I21" s="17"/>
      <c r="J21" s="17"/>
      <c r="L21" s="1" t="s">
        <v>29</v>
      </c>
      <c r="M21" s="12" t="s">
        <v>36</v>
      </c>
      <c r="N21" s="12" t="s">
        <v>451</v>
      </c>
      <c r="AF21" s="17" t="s">
        <v>602</v>
      </c>
      <c r="AG21" s="17" t="s">
        <v>582</v>
      </c>
      <c r="AH21" s="17" t="s">
        <v>585</v>
      </c>
    </row>
    <row r="22" spans="3:34" x14ac:dyDescent="0.35">
      <c r="C22" s="1"/>
      <c r="D22" s="1"/>
      <c r="E22" s="1"/>
      <c r="F22" s="32"/>
      <c r="G22" s="1"/>
      <c r="I22" s="17"/>
      <c r="J22" s="17"/>
      <c r="L22" s="1"/>
      <c r="M22" s="12" t="s">
        <v>696</v>
      </c>
      <c r="N22" s="12" t="s">
        <v>697</v>
      </c>
      <c r="AF22" s="17" t="s">
        <v>603</v>
      </c>
      <c r="AG22" s="17" t="s">
        <v>594</v>
      </c>
      <c r="AH22" s="17" t="s">
        <v>585</v>
      </c>
    </row>
    <row r="23" spans="3:34" x14ac:dyDescent="0.35">
      <c r="C23" s="1"/>
      <c r="D23" s="1"/>
      <c r="E23" s="1"/>
      <c r="F23" s="32"/>
      <c r="G23" s="1"/>
      <c r="I23" s="17"/>
      <c r="J23" s="17"/>
      <c r="L23" s="1"/>
      <c r="M23" s="12" t="s">
        <v>454</v>
      </c>
      <c r="N23" s="12" t="s">
        <v>455</v>
      </c>
      <c r="AF23" s="17" t="s">
        <v>604</v>
      </c>
      <c r="AG23" s="17" t="s">
        <v>595</v>
      </c>
      <c r="AH23" s="17" t="s">
        <v>585</v>
      </c>
    </row>
    <row r="24" spans="3:34" x14ac:dyDescent="0.35">
      <c r="C24" s="1"/>
      <c r="D24" s="1"/>
      <c r="E24" s="1"/>
      <c r="F24" s="32"/>
      <c r="G24" s="1"/>
      <c r="I24" s="1"/>
      <c r="J24" s="1"/>
      <c r="L24" s="1" t="s">
        <v>27</v>
      </c>
      <c r="M24" s="12" t="s">
        <v>34</v>
      </c>
      <c r="N24" s="12" t="s">
        <v>452</v>
      </c>
      <c r="AF24" s="17" t="s">
        <v>605</v>
      </c>
      <c r="AG24" s="17" t="s">
        <v>596</v>
      </c>
      <c r="AH24" s="17" t="s">
        <v>585</v>
      </c>
    </row>
    <row r="25" spans="3:34" x14ac:dyDescent="0.35">
      <c r="C25" s="1"/>
      <c r="D25" s="1"/>
      <c r="E25" s="1"/>
      <c r="F25" s="32"/>
      <c r="G25" s="1"/>
      <c r="I25" s="1"/>
      <c r="J25" s="1"/>
      <c r="L25" s="1"/>
      <c r="M25" s="12" t="s">
        <v>494</v>
      </c>
      <c r="N25" s="12"/>
      <c r="AF25" s="17" t="s">
        <v>606</v>
      </c>
      <c r="AG25" s="17" t="s">
        <v>597</v>
      </c>
      <c r="AH25" s="17" t="s">
        <v>585</v>
      </c>
    </row>
    <row r="26" spans="3:34" x14ac:dyDescent="0.35">
      <c r="C26" s="1"/>
      <c r="D26" s="1"/>
      <c r="E26" s="1"/>
      <c r="F26" s="32"/>
      <c r="G26" s="1"/>
      <c r="I26" s="1"/>
      <c r="J26" s="1"/>
      <c r="L26" s="1"/>
      <c r="M26" s="12" t="s">
        <v>505</v>
      </c>
      <c r="N26" s="12"/>
      <c r="AF26" s="17" t="s">
        <v>607</v>
      </c>
      <c r="AG26" s="17" t="s">
        <v>598</v>
      </c>
      <c r="AH26" s="17" t="s">
        <v>585</v>
      </c>
    </row>
    <row r="27" spans="3:34" x14ac:dyDescent="0.35">
      <c r="C27" s="1"/>
      <c r="D27" s="1"/>
      <c r="E27" s="1"/>
      <c r="F27" s="32"/>
      <c r="G27" s="1"/>
      <c r="I27" s="1"/>
      <c r="J27" s="1"/>
      <c r="L27" s="1"/>
      <c r="M27" s="12" t="s">
        <v>690</v>
      </c>
      <c r="N27" s="12" t="s">
        <v>691</v>
      </c>
      <c r="AF27" s="17" t="s">
        <v>608</v>
      </c>
      <c r="AG27" s="17" t="s">
        <v>599</v>
      </c>
      <c r="AH27" s="17" t="s">
        <v>585</v>
      </c>
    </row>
    <row r="28" spans="3:34" x14ac:dyDescent="0.35">
      <c r="C28" s="1"/>
      <c r="D28" s="1"/>
      <c r="E28" s="1"/>
      <c r="F28" s="32"/>
      <c r="G28" s="1"/>
      <c r="H28" s="13"/>
      <c r="I28" s="1"/>
      <c r="J28" s="1"/>
      <c r="L28" s="1"/>
      <c r="M28" s="12" t="s">
        <v>38</v>
      </c>
      <c r="N28" s="12" t="s">
        <v>534</v>
      </c>
      <c r="AF28" s="17" t="s">
        <v>610</v>
      </c>
      <c r="AG28" s="17" t="s">
        <v>609</v>
      </c>
      <c r="AH28" s="17" t="s">
        <v>585</v>
      </c>
    </row>
    <row r="29" spans="3:34" x14ac:dyDescent="0.35">
      <c r="C29" s="1"/>
      <c r="D29" s="1"/>
      <c r="E29" s="1"/>
      <c r="F29" s="32"/>
      <c r="G29" s="1"/>
      <c r="H29" s="13"/>
      <c r="I29" s="1"/>
      <c r="J29" s="1"/>
      <c r="L29" s="1"/>
      <c r="M29" s="12" t="s">
        <v>39</v>
      </c>
      <c r="N29" s="12" t="s">
        <v>453</v>
      </c>
      <c r="AF29" s="17" t="s">
        <v>611</v>
      </c>
      <c r="AG29" s="17" t="s">
        <v>587</v>
      </c>
      <c r="AH29" s="17" t="s">
        <v>585</v>
      </c>
    </row>
    <row r="30" spans="3:34" x14ac:dyDescent="0.35">
      <c r="C30" s="1"/>
      <c r="D30" s="1"/>
      <c r="E30" s="1"/>
      <c r="F30" s="32"/>
      <c r="G30" s="1"/>
      <c r="H30" s="13"/>
      <c r="I30" s="1"/>
      <c r="J30" s="1"/>
      <c r="L30" s="1"/>
      <c r="M30" s="12" t="s">
        <v>737</v>
      </c>
      <c r="N30" s="12" t="s">
        <v>738</v>
      </c>
      <c r="AF30" s="17" t="s">
        <v>612</v>
      </c>
      <c r="AG30" s="17" t="s">
        <v>582</v>
      </c>
      <c r="AH30" s="17" t="s">
        <v>585</v>
      </c>
    </row>
    <row r="31" spans="3:34" x14ac:dyDescent="0.35">
      <c r="C31" s="1"/>
      <c r="D31" s="1"/>
      <c r="E31" s="1"/>
      <c r="F31" s="32"/>
      <c r="G31" s="1"/>
      <c r="H31" s="13"/>
      <c r="I31" s="1"/>
      <c r="J31" s="1"/>
      <c r="L31" s="1"/>
      <c r="M31" s="12" t="s">
        <v>652</v>
      </c>
      <c r="N31" s="12" t="s">
        <v>653</v>
      </c>
      <c r="AF31" s="17" t="s">
        <v>613</v>
      </c>
      <c r="AG31" s="17" t="s">
        <v>594</v>
      </c>
      <c r="AH31" s="17" t="s">
        <v>585</v>
      </c>
    </row>
    <row r="32" spans="3:34" x14ac:dyDescent="0.35">
      <c r="C32" s="1"/>
      <c r="D32" s="1"/>
      <c r="E32" s="1"/>
      <c r="F32" s="32"/>
      <c r="G32" s="1"/>
      <c r="H32" s="13"/>
      <c r="I32" s="1"/>
      <c r="J32" s="1"/>
      <c r="L32" s="1"/>
      <c r="M32" s="12" t="s">
        <v>583</v>
      </c>
      <c r="N32" s="12" t="s">
        <v>584</v>
      </c>
      <c r="AF32" s="17" t="s">
        <v>614</v>
      </c>
      <c r="AG32" s="17" t="s">
        <v>595</v>
      </c>
      <c r="AH32" s="17" t="s">
        <v>585</v>
      </c>
    </row>
    <row r="33" spans="3:34" x14ac:dyDescent="0.35">
      <c r="C33" s="1"/>
      <c r="D33" s="1"/>
      <c r="E33" s="1"/>
      <c r="F33" s="32"/>
      <c r="G33" s="1"/>
      <c r="H33" s="13"/>
      <c r="I33" s="1"/>
      <c r="J33" s="1"/>
      <c r="L33" s="1"/>
      <c r="M33" s="12" t="s">
        <v>692</v>
      </c>
      <c r="N33" s="12" t="s">
        <v>693</v>
      </c>
      <c r="AF33" s="17" t="s">
        <v>615</v>
      </c>
      <c r="AG33" s="17" t="s">
        <v>596</v>
      </c>
      <c r="AH33" s="17" t="s">
        <v>585</v>
      </c>
    </row>
    <row r="34" spans="3:34" x14ac:dyDescent="0.35">
      <c r="C34" s="1"/>
      <c r="D34" s="1"/>
      <c r="E34" s="1"/>
      <c r="F34" s="32"/>
      <c r="G34" s="1"/>
      <c r="H34" s="13"/>
      <c r="I34" s="1"/>
      <c r="J34" s="1"/>
      <c r="L34" s="1"/>
      <c r="M34" s="12" t="s">
        <v>757</v>
      </c>
      <c r="N34" s="12" t="s">
        <v>758</v>
      </c>
      <c r="AF34" s="17" t="s">
        <v>616</v>
      </c>
      <c r="AG34" s="17" t="s">
        <v>597</v>
      </c>
      <c r="AH34" s="17" t="s">
        <v>585</v>
      </c>
    </row>
    <row r="35" spans="3:34" x14ac:dyDescent="0.35">
      <c r="C35" s="1"/>
      <c r="D35" s="1"/>
      <c r="E35" s="1"/>
      <c r="F35" s="32"/>
      <c r="G35" s="1"/>
      <c r="H35" s="13"/>
      <c r="I35" s="1"/>
      <c r="J35" s="1"/>
      <c r="L35" s="1"/>
      <c r="M35" s="12" t="s">
        <v>759</v>
      </c>
      <c r="N35" s="12" t="s">
        <v>760</v>
      </c>
      <c r="AF35" s="17" t="s">
        <v>617</v>
      </c>
      <c r="AG35" s="17" t="s">
        <v>598</v>
      </c>
      <c r="AH35" s="17" t="s">
        <v>585</v>
      </c>
    </row>
    <row r="36" spans="3:34" x14ac:dyDescent="0.35">
      <c r="C36" s="1"/>
      <c r="D36" s="1"/>
      <c r="E36" s="1"/>
      <c r="F36" s="32"/>
      <c r="G36" s="1"/>
      <c r="H36" s="13"/>
      <c r="I36" s="1"/>
      <c r="J36" s="1"/>
      <c r="L36" s="1"/>
      <c r="M36" s="12" t="s">
        <v>761</v>
      </c>
      <c r="N36" s="12" t="s">
        <v>762</v>
      </c>
      <c r="AF36" s="17" t="s">
        <v>618</v>
      </c>
      <c r="AG36" s="17" t="s">
        <v>599</v>
      </c>
      <c r="AH36" s="17" t="s">
        <v>585</v>
      </c>
    </row>
    <row r="37" spans="3:34" x14ac:dyDescent="0.35">
      <c r="C37" s="1"/>
      <c r="D37" s="1"/>
      <c r="E37" s="1"/>
      <c r="F37" s="32"/>
      <c r="G37" s="1"/>
      <c r="H37" s="13"/>
      <c r="I37" s="1"/>
      <c r="J37" s="1"/>
      <c r="L37" s="1"/>
      <c r="M37" s="12" t="s">
        <v>763</v>
      </c>
      <c r="N37" s="12" t="s">
        <v>764</v>
      </c>
      <c r="AF37" s="17" t="s">
        <v>624</v>
      </c>
      <c r="AG37" s="17" t="s">
        <v>623</v>
      </c>
      <c r="AH37" s="17" t="s">
        <v>570</v>
      </c>
    </row>
    <row r="38" spans="3:34" x14ac:dyDescent="0.35">
      <c r="C38" s="1"/>
      <c r="D38" s="1"/>
      <c r="E38" s="1"/>
      <c r="F38" s="32"/>
      <c r="G38" s="1"/>
      <c r="H38" s="13"/>
      <c r="I38" s="1"/>
      <c r="J38" s="1"/>
      <c r="L38" s="13"/>
      <c r="M38" s="12" t="s">
        <v>769</v>
      </c>
      <c r="N38" s="12" t="s">
        <v>771</v>
      </c>
      <c r="AF38" s="17" t="s">
        <v>625</v>
      </c>
      <c r="AG38" s="17" t="s">
        <v>633</v>
      </c>
      <c r="AH38" s="17" t="s">
        <v>570</v>
      </c>
    </row>
    <row r="39" spans="3:34" x14ac:dyDescent="0.35">
      <c r="C39" s="1"/>
      <c r="D39" s="1"/>
      <c r="E39" s="1"/>
      <c r="F39" s="32"/>
      <c r="G39" s="1"/>
      <c r="H39" s="13"/>
      <c r="I39" s="1"/>
      <c r="J39" s="1"/>
      <c r="L39" s="13"/>
      <c r="M39" s="12" t="s">
        <v>770</v>
      </c>
      <c r="N39" s="12" t="s">
        <v>772</v>
      </c>
      <c r="AF39" s="17" t="s">
        <v>626</v>
      </c>
      <c r="AG39" s="17" t="s">
        <v>634</v>
      </c>
      <c r="AH39" s="17" t="s">
        <v>570</v>
      </c>
    </row>
    <row r="40" spans="3:34" x14ac:dyDescent="0.35">
      <c r="C40" s="1"/>
      <c r="D40" s="1"/>
      <c r="E40" s="1"/>
      <c r="F40" s="32"/>
      <c r="G40" s="1"/>
      <c r="H40" s="13"/>
      <c r="I40" s="1"/>
      <c r="J40" s="1"/>
      <c r="L40" s="13"/>
      <c r="M40" s="12" t="s">
        <v>773</v>
      </c>
      <c r="N40" s="12" t="s">
        <v>774</v>
      </c>
      <c r="AF40" s="17" t="s">
        <v>627</v>
      </c>
      <c r="AG40" s="17" t="s">
        <v>635</v>
      </c>
      <c r="AH40" s="17" t="s">
        <v>570</v>
      </c>
    </row>
    <row r="41" spans="3:34" x14ac:dyDescent="0.35">
      <c r="C41" s="1"/>
      <c r="D41" s="1"/>
      <c r="E41" s="1"/>
      <c r="F41" s="32"/>
      <c r="G41" s="1"/>
      <c r="H41" s="13"/>
      <c r="I41" s="1"/>
      <c r="J41" s="1"/>
      <c r="L41" s="13"/>
      <c r="M41" s="12" t="s">
        <v>775</v>
      </c>
      <c r="N41" s="12" t="s">
        <v>776</v>
      </c>
      <c r="AF41" s="17" t="s">
        <v>628</v>
      </c>
      <c r="AG41" s="17" t="s">
        <v>636</v>
      </c>
      <c r="AH41" s="17" t="s">
        <v>570</v>
      </c>
    </row>
    <row r="42" spans="3:34" x14ac:dyDescent="0.35">
      <c r="C42" s="1"/>
      <c r="D42" s="1"/>
      <c r="E42" s="1"/>
      <c r="F42" s="32"/>
      <c r="G42" s="1"/>
      <c r="H42" s="13"/>
      <c r="I42" s="1"/>
      <c r="J42" s="1"/>
      <c r="L42" s="13"/>
      <c r="M42" s="12" t="s">
        <v>782</v>
      </c>
      <c r="N42" s="12" t="s">
        <v>783</v>
      </c>
      <c r="AF42" s="17" t="s">
        <v>629</v>
      </c>
      <c r="AG42" s="17" t="s">
        <v>637</v>
      </c>
      <c r="AH42" s="17" t="s">
        <v>570</v>
      </c>
    </row>
    <row r="43" spans="3:34" x14ac:dyDescent="0.35">
      <c r="C43" s="1"/>
      <c r="D43" s="1"/>
      <c r="E43" s="1"/>
      <c r="F43" s="32"/>
      <c r="G43" s="1"/>
      <c r="H43" s="13"/>
      <c r="I43" s="1"/>
      <c r="J43" s="1"/>
      <c r="L43" s="13"/>
      <c r="M43" s="12" t="s">
        <v>38</v>
      </c>
      <c r="N43" s="12" t="s">
        <v>784</v>
      </c>
      <c r="AF43" s="17" t="s">
        <v>630</v>
      </c>
      <c r="AG43" s="17" t="s">
        <v>638</v>
      </c>
      <c r="AH43" s="17" t="s">
        <v>570</v>
      </c>
    </row>
    <row r="44" spans="3:34" x14ac:dyDescent="0.35">
      <c r="C44" s="1"/>
      <c r="D44" s="1"/>
      <c r="E44" s="1"/>
      <c r="F44" s="32"/>
      <c r="G44" s="1"/>
      <c r="H44" s="13"/>
      <c r="I44" s="1"/>
      <c r="J44" s="1"/>
      <c r="L44" s="13"/>
      <c r="M44" s="14" t="s">
        <v>785</v>
      </c>
      <c r="N44" s="14" t="s">
        <v>786</v>
      </c>
      <c r="AF44" s="17" t="s">
        <v>631</v>
      </c>
      <c r="AG44" s="17" t="s">
        <v>639</v>
      </c>
      <c r="AH44" s="17" t="s">
        <v>570</v>
      </c>
    </row>
    <row r="45" spans="3:34" x14ac:dyDescent="0.35">
      <c r="C45" s="1"/>
      <c r="D45" s="1"/>
      <c r="E45" s="1"/>
      <c r="F45" s="32"/>
      <c r="G45" s="1"/>
      <c r="H45" s="13"/>
      <c r="I45" s="1"/>
      <c r="J45" s="1"/>
      <c r="L45" s="13"/>
      <c r="M45" s="14"/>
      <c r="N45" s="14"/>
      <c r="AF45" s="17" t="s">
        <v>632</v>
      </c>
      <c r="AG45" s="17" t="s">
        <v>640</v>
      </c>
      <c r="AH45" s="17" t="s">
        <v>570</v>
      </c>
    </row>
    <row r="46" spans="3:34" x14ac:dyDescent="0.35">
      <c r="C46" s="1"/>
      <c r="D46" s="1"/>
      <c r="E46" s="1"/>
      <c r="F46" s="32"/>
      <c r="G46" s="1"/>
      <c r="H46" s="13"/>
      <c r="I46" s="1"/>
      <c r="J46" s="1"/>
      <c r="L46" s="13"/>
      <c r="M46" s="14"/>
      <c r="N46" s="14"/>
      <c r="AF46" s="17" t="s">
        <v>644</v>
      </c>
      <c r="AG46" s="17" t="s">
        <v>645</v>
      </c>
      <c r="AH46" s="17" t="s">
        <v>646</v>
      </c>
    </row>
    <row r="47" spans="3:34" x14ac:dyDescent="0.35">
      <c r="C47" s="1"/>
      <c r="D47" s="1"/>
      <c r="E47" s="1"/>
      <c r="F47" s="32"/>
      <c r="G47" s="1"/>
      <c r="H47" s="13"/>
      <c r="I47" s="1"/>
      <c r="J47" s="1"/>
      <c r="L47" s="13"/>
      <c r="M47" s="14"/>
      <c r="N47" s="14"/>
      <c r="AF47" s="17" t="s">
        <v>647</v>
      </c>
      <c r="AG47" s="17" t="s">
        <v>648</v>
      </c>
      <c r="AH47" s="17" t="s">
        <v>646</v>
      </c>
    </row>
    <row r="48" spans="3:34" x14ac:dyDescent="0.35">
      <c r="C48" s="1"/>
      <c r="D48" s="1"/>
      <c r="E48" s="1"/>
      <c r="F48" s="32"/>
      <c r="G48" s="1"/>
      <c r="H48" s="13"/>
      <c r="I48" s="1"/>
      <c r="J48" s="1"/>
      <c r="L48" s="13"/>
      <c r="M48" s="14"/>
      <c r="N48" s="14"/>
      <c r="AF48" s="17" t="s">
        <v>650</v>
      </c>
      <c r="AG48" s="17" t="s">
        <v>645</v>
      </c>
      <c r="AH48" s="17" t="s">
        <v>646</v>
      </c>
    </row>
    <row r="49" spans="3:34" x14ac:dyDescent="0.35">
      <c r="C49" s="1"/>
      <c r="D49" s="1"/>
      <c r="E49" s="1"/>
      <c r="F49" s="32"/>
      <c r="G49" s="1"/>
      <c r="H49" s="13"/>
      <c r="I49" s="1"/>
      <c r="J49" s="1"/>
      <c r="L49" s="13"/>
      <c r="M49" s="14"/>
      <c r="N49" s="14"/>
      <c r="AF49" s="17" t="s">
        <v>651</v>
      </c>
      <c r="AG49" s="17" t="s">
        <v>648</v>
      </c>
      <c r="AH49" s="17" t="s">
        <v>646</v>
      </c>
    </row>
    <row r="50" spans="3:34" x14ac:dyDescent="0.35">
      <c r="C50" s="1"/>
      <c r="D50" s="1"/>
      <c r="E50" s="1"/>
      <c r="F50" s="32"/>
      <c r="G50" s="1"/>
      <c r="H50" s="13"/>
      <c r="I50" s="1"/>
      <c r="J50" s="1"/>
      <c r="L50" s="13"/>
      <c r="M50" s="14"/>
      <c r="N50" s="14"/>
      <c r="AF50" s="44" t="s">
        <v>666</v>
      </c>
      <c r="AG50" s="44" t="s">
        <v>754</v>
      </c>
      <c r="AH50" s="44" t="s">
        <v>667</v>
      </c>
    </row>
    <row r="51" spans="3:34" x14ac:dyDescent="0.35">
      <c r="C51" s="1"/>
      <c r="D51" s="1"/>
      <c r="E51" s="1"/>
      <c r="F51" s="32"/>
      <c r="G51" s="1"/>
      <c r="H51" s="13"/>
      <c r="I51" s="1"/>
      <c r="J51" s="1"/>
      <c r="L51" s="13"/>
      <c r="M51" s="14"/>
      <c r="N51" s="14"/>
      <c r="AF51" s="44" t="s">
        <v>668</v>
      </c>
      <c r="AG51" s="44" t="s">
        <v>755</v>
      </c>
      <c r="AH51" s="44" t="s">
        <v>667</v>
      </c>
    </row>
    <row r="52" spans="3:34" x14ac:dyDescent="0.35">
      <c r="C52" s="1"/>
      <c r="D52" s="1"/>
      <c r="E52" s="1"/>
      <c r="F52" s="32"/>
      <c r="G52" s="1"/>
      <c r="I52" s="1"/>
      <c r="J52" s="1"/>
      <c r="L52" s="13"/>
      <c r="M52" s="14"/>
      <c r="N52" s="14"/>
      <c r="AF52" s="44" t="s">
        <v>669</v>
      </c>
      <c r="AG52" s="44" t="s">
        <v>756</v>
      </c>
      <c r="AH52" s="44" t="s">
        <v>667</v>
      </c>
    </row>
    <row r="53" spans="3:34" x14ac:dyDescent="0.35">
      <c r="C53" s="1"/>
      <c r="D53" s="1"/>
      <c r="E53" s="1"/>
      <c r="F53" s="32"/>
      <c r="G53" s="1"/>
      <c r="I53" s="1"/>
      <c r="J53" s="1"/>
      <c r="M53" s="14"/>
      <c r="N53" s="14"/>
      <c r="AF53" s="44" t="s">
        <v>670</v>
      </c>
      <c r="AG53" s="44" t="s">
        <v>671</v>
      </c>
      <c r="AH53" s="44" t="s">
        <v>672</v>
      </c>
    </row>
    <row r="54" spans="3:34" x14ac:dyDescent="0.35">
      <c r="C54" s="1"/>
      <c r="D54" s="1"/>
      <c r="E54" s="1"/>
      <c r="F54" s="32"/>
      <c r="G54" s="1"/>
      <c r="I54" s="1"/>
      <c r="J54" s="1"/>
      <c r="M54" s="14"/>
      <c r="N54" s="14"/>
      <c r="AF54" s="44" t="s">
        <v>673</v>
      </c>
      <c r="AG54" s="44" t="s">
        <v>674</v>
      </c>
      <c r="AH54" s="44" t="s">
        <v>672</v>
      </c>
    </row>
    <row r="55" spans="3:34" x14ac:dyDescent="0.35">
      <c r="C55" s="1"/>
      <c r="D55" s="1"/>
      <c r="E55" s="1"/>
      <c r="F55" s="32"/>
      <c r="G55" s="1"/>
      <c r="I55" s="1"/>
      <c r="J55" s="1"/>
      <c r="M55" s="14"/>
      <c r="N55" s="14"/>
      <c r="AF55" s="44" t="s">
        <v>675</v>
      </c>
      <c r="AG55" s="44" t="s">
        <v>676</v>
      </c>
      <c r="AH55" s="44" t="s">
        <v>672</v>
      </c>
    </row>
    <row r="56" spans="3:34" x14ac:dyDescent="0.35">
      <c r="C56" s="1"/>
      <c r="D56" s="1"/>
      <c r="E56" s="1"/>
      <c r="F56" s="32"/>
      <c r="G56" s="1"/>
      <c r="I56" s="1"/>
      <c r="J56" s="1"/>
      <c r="M56" s="14"/>
      <c r="N56" s="14"/>
      <c r="AF56" s="44" t="s">
        <v>677</v>
      </c>
      <c r="AG56" s="44" t="s">
        <v>682</v>
      </c>
      <c r="AH56" s="44" t="s">
        <v>681</v>
      </c>
    </row>
    <row r="57" spans="3:34" x14ac:dyDescent="0.35">
      <c r="C57" s="1"/>
      <c r="D57" s="1"/>
      <c r="E57" s="1"/>
      <c r="F57" s="32"/>
      <c r="G57" s="1"/>
      <c r="I57" s="1"/>
      <c r="J57" s="1"/>
      <c r="M57" s="14"/>
      <c r="N57" s="14"/>
      <c r="AF57" s="44" t="s">
        <v>678</v>
      </c>
      <c r="AG57" s="44" t="s">
        <v>683</v>
      </c>
      <c r="AH57" s="44" t="s">
        <v>681</v>
      </c>
    </row>
    <row r="58" spans="3:34" x14ac:dyDescent="0.35">
      <c r="C58" s="1"/>
      <c r="D58" s="1"/>
      <c r="E58" s="1"/>
      <c r="F58" s="32"/>
      <c r="G58" s="1"/>
      <c r="I58" s="1"/>
      <c r="J58" s="1"/>
      <c r="M58" s="14"/>
      <c r="N58" s="14"/>
      <c r="AF58" s="44" t="s">
        <v>679</v>
      </c>
      <c r="AG58" s="44" t="s">
        <v>684</v>
      </c>
      <c r="AH58" s="44" t="s">
        <v>681</v>
      </c>
    </row>
    <row r="59" spans="3:34" x14ac:dyDescent="0.35">
      <c r="C59" s="1"/>
      <c r="D59" s="1"/>
      <c r="E59" s="1"/>
      <c r="F59" s="32"/>
      <c r="G59" s="1"/>
      <c r="I59" s="1"/>
      <c r="J59" s="1"/>
      <c r="AF59" s="44" t="s">
        <v>680</v>
      </c>
      <c r="AG59" s="44" t="s">
        <v>685</v>
      </c>
      <c r="AH59" s="44" t="s">
        <v>681</v>
      </c>
    </row>
    <row r="60" spans="3:34" x14ac:dyDescent="0.35">
      <c r="C60" s="1"/>
      <c r="D60" s="1"/>
      <c r="E60" s="1"/>
      <c r="F60" s="32"/>
      <c r="G60" s="1"/>
      <c r="I60" s="1"/>
      <c r="J60" s="1"/>
      <c r="AF60" s="44" t="s">
        <v>686</v>
      </c>
      <c r="AG60" s="44" t="s">
        <v>688</v>
      </c>
      <c r="AH60" s="44" t="s">
        <v>667</v>
      </c>
    </row>
    <row r="61" spans="3:34" x14ac:dyDescent="0.35">
      <c r="C61" s="1"/>
      <c r="D61" s="1"/>
      <c r="E61" s="1"/>
      <c r="F61" s="32"/>
      <c r="G61" s="1"/>
      <c r="I61" s="1"/>
      <c r="J61" s="1"/>
      <c r="AF61" s="44" t="s">
        <v>687</v>
      </c>
      <c r="AG61" s="44" t="s">
        <v>689</v>
      </c>
      <c r="AH61" s="44" t="s">
        <v>667</v>
      </c>
    </row>
    <row r="62" spans="3:34" x14ac:dyDescent="0.35">
      <c r="C62" s="1"/>
      <c r="D62" s="1"/>
      <c r="E62" s="1"/>
      <c r="F62" s="32"/>
      <c r="G62" s="1"/>
      <c r="I62" s="1"/>
      <c r="J62" s="1"/>
      <c r="AF62" s="44" t="s">
        <v>694</v>
      </c>
      <c r="AG62" s="44" t="s">
        <v>699</v>
      </c>
      <c r="AH62" s="44" t="s">
        <v>667</v>
      </c>
    </row>
    <row r="63" spans="3:34" x14ac:dyDescent="0.35">
      <c r="C63" s="1"/>
      <c r="D63" s="1"/>
      <c r="E63" s="1"/>
      <c r="F63" s="32"/>
      <c r="G63" s="1"/>
      <c r="I63" s="1"/>
      <c r="J63" s="1"/>
      <c r="AF63" s="44" t="s">
        <v>695</v>
      </c>
      <c r="AG63" s="44" t="s">
        <v>698</v>
      </c>
      <c r="AH63" s="44" t="s">
        <v>667</v>
      </c>
    </row>
    <row r="64" spans="3:34" x14ac:dyDescent="0.35">
      <c r="C64" s="1"/>
      <c r="D64" s="1"/>
      <c r="E64" s="1"/>
      <c r="F64" s="32"/>
      <c r="G64" s="1"/>
      <c r="I64" s="1"/>
      <c r="J64" s="1"/>
      <c r="AF64" s="44" t="s">
        <v>702</v>
      </c>
      <c r="AG64" s="44" t="s">
        <v>23</v>
      </c>
      <c r="AH64" s="44" t="s">
        <v>703</v>
      </c>
    </row>
    <row r="65" spans="3:34" x14ac:dyDescent="0.35">
      <c r="C65" s="1"/>
      <c r="D65" s="1"/>
      <c r="E65" s="1"/>
      <c r="F65" s="32"/>
      <c r="G65" s="1"/>
      <c r="I65" s="1"/>
      <c r="J65" s="1"/>
      <c r="AF65" s="44" t="s">
        <v>704</v>
      </c>
      <c r="AG65" s="44" t="s">
        <v>24</v>
      </c>
      <c r="AH65" s="44" t="s">
        <v>703</v>
      </c>
    </row>
    <row r="66" spans="3:34" x14ac:dyDescent="0.35">
      <c r="C66" s="1"/>
      <c r="D66" s="1"/>
      <c r="E66" s="1"/>
      <c r="F66" s="32"/>
      <c r="G66" s="1"/>
      <c r="I66" s="1"/>
      <c r="J66" s="1"/>
      <c r="AF66" s="44" t="s">
        <v>707</v>
      </c>
      <c r="AG66" s="44" t="s">
        <v>23</v>
      </c>
      <c r="AH66" s="44" t="s">
        <v>716</v>
      </c>
    </row>
    <row r="67" spans="3:34" x14ac:dyDescent="0.35">
      <c r="C67" s="1"/>
      <c r="D67" s="1"/>
      <c r="E67" s="1"/>
      <c r="F67" s="32"/>
      <c r="G67" s="1"/>
      <c r="I67" s="1"/>
      <c r="J67" s="1"/>
      <c r="AF67" s="44" t="s">
        <v>708</v>
      </c>
      <c r="AG67" s="44" t="s">
        <v>24</v>
      </c>
      <c r="AH67" s="44" t="s">
        <v>716</v>
      </c>
    </row>
    <row r="68" spans="3:34" x14ac:dyDescent="0.35">
      <c r="C68" s="1"/>
      <c r="D68" s="1"/>
      <c r="E68" s="1"/>
      <c r="F68" s="32"/>
      <c r="G68" s="1"/>
      <c r="I68" s="1"/>
      <c r="J68" s="1"/>
      <c r="AF68" s="44" t="s">
        <v>709</v>
      </c>
      <c r="AG68" s="44" t="s">
        <v>663</v>
      </c>
      <c r="AH68" s="44" t="s">
        <v>716</v>
      </c>
    </row>
    <row r="69" spans="3:34" x14ac:dyDescent="0.35">
      <c r="C69" s="1"/>
      <c r="D69" s="1"/>
      <c r="E69" s="1"/>
      <c r="F69" s="32"/>
      <c r="G69" s="1"/>
      <c r="I69" s="1"/>
      <c r="J69" s="1"/>
      <c r="AF69" s="44" t="s">
        <v>710</v>
      </c>
      <c r="AG69" s="44" t="s">
        <v>23</v>
      </c>
      <c r="AH69" s="44" t="s">
        <v>716</v>
      </c>
    </row>
    <row r="70" spans="3:34" x14ac:dyDescent="0.35">
      <c r="C70" s="1"/>
      <c r="D70" s="1"/>
      <c r="E70" s="1"/>
      <c r="F70" s="32"/>
      <c r="G70" s="1"/>
      <c r="I70" s="1"/>
      <c r="J70" s="1"/>
      <c r="AF70" s="44" t="s">
        <v>711</v>
      </c>
      <c r="AG70" s="44" t="s">
        <v>24</v>
      </c>
      <c r="AH70" s="44" t="s">
        <v>716</v>
      </c>
    </row>
    <row r="71" spans="3:34" x14ac:dyDescent="0.35">
      <c r="C71" s="1"/>
      <c r="D71" s="1"/>
      <c r="E71" s="1"/>
      <c r="F71" s="32"/>
      <c r="G71" s="1"/>
      <c r="I71" s="1"/>
      <c r="J71" s="1"/>
      <c r="AF71" s="44" t="s">
        <v>712</v>
      </c>
      <c r="AG71" s="44" t="s">
        <v>663</v>
      </c>
      <c r="AH71" s="44" t="s">
        <v>716</v>
      </c>
    </row>
    <row r="72" spans="3:34" x14ac:dyDescent="0.35">
      <c r="C72" s="1"/>
      <c r="D72" s="1"/>
      <c r="E72" s="1"/>
      <c r="F72" s="32"/>
      <c r="G72" s="1"/>
      <c r="I72" s="1"/>
      <c r="J72" s="1"/>
      <c r="AF72" s="44" t="s">
        <v>713</v>
      </c>
      <c r="AG72" s="44" t="s">
        <v>23</v>
      </c>
      <c r="AH72" s="44" t="s">
        <v>716</v>
      </c>
    </row>
    <row r="73" spans="3:34" x14ac:dyDescent="0.35">
      <c r="C73" s="1"/>
      <c r="D73" s="1"/>
      <c r="E73" s="1"/>
      <c r="F73" s="32"/>
      <c r="G73" s="1"/>
      <c r="I73" s="1"/>
      <c r="J73" s="1"/>
      <c r="AF73" s="44" t="s">
        <v>714</v>
      </c>
      <c r="AG73" s="44" t="s">
        <v>24</v>
      </c>
      <c r="AH73" s="44" t="s">
        <v>716</v>
      </c>
    </row>
    <row r="74" spans="3:34" x14ac:dyDescent="0.35">
      <c r="C74" s="1"/>
      <c r="D74" s="1"/>
      <c r="E74" s="1"/>
      <c r="F74" s="32"/>
      <c r="G74" s="1"/>
      <c r="I74" s="1"/>
      <c r="J74" s="1"/>
      <c r="AF74" s="44" t="s">
        <v>715</v>
      </c>
      <c r="AG74" s="44" t="s">
        <v>663</v>
      </c>
      <c r="AH74" s="44" t="s">
        <v>716</v>
      </c>
    </row>
    <row r="75" spans="3:34" x14ac:dyDescent="0.35">
      <c r="C75" s="1"/>
      <c r="D75" s="1"/>
      <c r="E75" s="1"/>
      <c r="F75" s="32"/>
      <c r="G75" s="1"/>
      <c r="I75" s="1"/>
      <c r="J75" s="1"/>
      <c r="AF75" s="44" t="s">
        <v>718</v>
      </c>
      <c r="AG75" s="44" t="s">
        <v>729</v>
      </c>
      <c r="AH75" s="44" t="s">
        <v>728</v>
      </c>
    </row>
    <row r="76" spans="3:34" x14ac:dyDescent="0.35">
      <c r="C76" s="1"/>
      <c r="D76" s="1"/>
      <c r="E76" s="1"/>
      <c r="F76" s="32"/>
      <c r="G76" s="1"/>
      <c r="I76" s="1"/>
      <c r="J76" s="1"/>
      <c r="AF76" s="44" t="s">
        <v>719</v>
      </c>
      <c r="AG76" s="44" t="s">
        <v>648</v>
      </c>
      <c r="AH76" s="44" t="s">
        <v>728</v>
      </c>
    </row>
    <row r="77" spans="3:34" x14ac:dyDescent="0.35">
      <c r="C77" s="1"/>
      <c r="D77" s="1"/>
      <c r="E77" s="1"/>
      <c r="F77" s="32"/>
      <c r="G77" s="1"/>
      <c r="I77" s="1"/>
      <c r="J77" s="1"/>
      <c r="AF77" s="44" t="s">
        <v>720</v>
      </c>
      <c r="AG77" s="44" t="s">
        <v>730</v>
      </c>
      <c r="AH77" s="44" t="s">
        <v>728</v>
      </c>
    </row>
    <row r="78" spans="3:34" x14ac:dyDescent="0.35">
      <c r="C78" s="1"/>
      <c r="D78" s="1"/>
      <c r="E78" s="1"/>
      <c r="F78" s="32"/>
      <c r="G78" s="1"/>
      <c r="I78" s="1"/>
      <c r="J78" s="1"/>
      <c r="AF78" s="44" t="s">
        <v>721</v>
      </c>
      <c r="AG78" s="44" t="s">
        <v>731</v>
      </c>
      <c r="AH78" s="44" t="s">
        <v>728</v>
      </c>
    </row>
    <row r="79" spans="3:34" x14ac:dyDescent="0.35">
      <c r="C79" s="1"/>
      <c r="D79" s="1"/>
      <c r="E79" s="1"/>
      <c r="F79" s="32"/>
      <c r="G79" s="1"/>
      <c r="I79" s="1"/>
      <c r="J79" s="1"/>
      <c r="AF79" s="44" t="s">
        <v>722</v>
      </c>
      <c r="AG79" s="44" t="s">
        <v>732</v>
      </c>
      <c r="AH79" s="44" t="s">
        <v>728</v>
      </c>
    </row>
    <row r="80" spans="3:34" x14ac:dyDescent="0.35">
      <c r="C80" s="1"/>
      <c r="D80" s="1"/>
      <c r="E80" s="1"/>
      <c r="F80" s="32"/>
      <c r="G80" s="1"/>
      <c r="I80" s="1"/>
      <c r="J80" s="1"/>
      <c r="AF80" s="44" t="s">
        <v>723</v>
      </c>
      <c r="AG80" s="44" t="s">
        <v>729</v>
      </c>
      <c r="AH80" s="44" t="s">
        <v>728</v>
      </c>
    </row>
    <row r="81" spans="3:34" x14ac:dyDescent="0.35">
      <c r="C81" s="1"/>
      <c r="D81" s="1"/>
      <c r="E81" s="1"/>
      <c r="F81" s="32"/>
      <c r="G81" s="1"/>
      <c r="I81" s="1"/>
      <c r="J81" s="1"/>
      <c r="AF81" s="44" t="s">
        <v>724</v>
      </c>
      <c r="AG81" s="44" t="s">
        <v>648</v>
      </c>
      <c r="AH81" s="44" t="s">
        <v>728</v>
      </c>
    </row>
    <row r="82" spans="3:34" x14ac:dyDescent="0.35">
      <c r="C82" s="1"/>
      <c r="D82" s="1"/>
      <c r="E82" s="1"/>
      <c r="F82" s="32"/>
      <c r="G82" s="1"/>
      <c r="I82" s="1"/>
      <c r="J82" s="1"/>
      <c r="AF82" s="44" t="s">
        <v>725</v>
      </c>
      <c r="AG82" s="44" t="s">
        <v>730</v>
      </c>
      <c r="AH82" s="44" t="s">
        <v>728</v>
      </c>
    </row>
    <row r="83" spans="3:34" x14ac:dyDescent="0.35">
      <c r="C83" s="1"/>
      <c r="D83" s="1"/>
      <c r="E83" s="1"/>
      <c r="F83" s="32"/>
      <c r="G83" s="1"/>
      <c r="I83" s="1"/>
      <c r="J83" s="1"/>
      <c r="AF83" s="44" t="s">
        <v>726</v>
      </c>
      <c r="AG83" s="44" t="s">
        <v>731</v>
      </c>
      <c r="AH83" s="44" t="s">
        <v>728</v>
      </c>
    </row>
    <row r="84" spans="3:34" x14ac:dyDescent="0.35">
      <c r="C84" s="1"/>
      <c r="D84" s="1"/>
      <c r="E84" s="1"/>
      <c r="F84" s="32"/>
      <c r="G84" s="1"/>
      <c r="I84" s="1"/>
      <c r="J84" s="1"/>
      <c r="AF84" s="44" t="s">
        <v>727</v>
      </c>
      <c r="AG84" s="44" t="s">
        <v>732</v>
      </c>
      <c r="AH84" s="44" t="s">
        <v>728</v>
      </c>
    </row>
    <row r="85" spans="3:34" x14ac:dyDescent="0.35">
      <c r="C85" s="1"/>
      <c r="D85" s="1"/>
      <c r="E85" s="1"/>
      <c r="F85" s="32"/>
      <c r="G85" s="1"/>
      <c r="I85" s="1"/>
      <c r="J85" s="1"/>
      <c r="AF85" s="44" t="s">
        <v>739</v>
      </c>
      <c r="AG85" s="44" t="s">
        <v>742</v>
      </c>
      <c r="AH85" s="44" t="s">
        <v>744</v>
      </c>
    </row>
    <row r="86" spans="3:34" x14ac:dyDescent="0.35">
      <c r="C86" s="1"/>
      <c r="D86" s="1"/>
      <c r="E86" s="1"/>
      <c r="F86" s="32"/>
      <c r="G86" s="1"/>
      <c r="I86" s="1"/>
      <c r="J86" s="1"/>
      <c r="AF86" s="44" t="s">
        <v>740</v>
      </c>
      <c r="AG86" s="44" t="s">
        <v>672</v>
      </c>
      <c r="AH86" s="44" t="s">
        <v>744</v>
      </c>
    </row>
    <row r="87" spans="3:34" x14ac:dyDescent="0.35">
      <c r="C87" s="1"/>
      <c r="D87" s="1"/>
      <c r="E87" s="1"/>
      <c r="F87" s="32"/>
      <c r="G87" s="1"/>
      <c r="I87" s="1"/>
      <c r="J87" s="1"/>
      <c r="AF87" s="44" t="s">
        <v>741</v>
      </c>
      <c r="AG87" s="44" t="s">
        <v>743</v>
      </c>
      <c r="AH87" s="44" t="s">
        <v>744</v>
      </c>
    </row>
    <row r="88" spans="3:34" x14ac:dyDescent="0.35">
      <c r="C88" s="1"/>
      <c r="D88" s="1"/>
      <c r="E88" s="1"/>
      <c r="F88" s="32"/>
      <c r="G88" s="1"/>
      <c r="I88" s="1"/>
      <c r="J88" s="1"/>
      <c r="AF88" s="44" t="s">
        <v>746</v>
      </c>
      <c r="AG88" s="44" t="s">
        <v>750</v>
      </c>
      <c r="AH88" s="44" t="s">
        <v>752</v>
      </c>
    </row>
    <row r="89" spans="3:34" x14ac:dyDescent="0.35">
      <c r="C89" s="1"/>
      <c r="D89" s="1"/>
      <c r="E89" s="1"/>
      <c r="F89" s="32"/>
      <c r="G89" s="1"/>
      <c r="I89" s="1"/>
      <c r="J89" s="1"/>
      <c r="AF89" s="44" t="s">
        <v>747</v>
      </c>
      <c r="AG89" s="44" t="s">
        <v>751</v>
      </c>
      <c r="AH89" s="44" t="s">
        <v>752</v>
      </c>
    </row>
    <row r="90" spans="3:34" x14ac:dyDescent="0.35">
      <c r="C90" s="1"/>
      <c r="D90" s="1"/>
      <c r="E90" s="1"/>
      <c r="F90" s="32"/>
      <c r="G90" s="1"/>
      <c r="I90" s="1"/>
      <c r="J90" s="1"/>
      <c r="AF90" s="44" t="s">
        <v>748</v>
      </c>
      <c r="AG90" s="44" t="s">
        <v>609</v>
      </c>
      <c r="AH90" s="44" t="s">
        <v>752</v>
      </c>
    </row>
    <row r="91" spans="3:34" x14ac:dyDescent="0.35">
      <c r="C91" s="1"/>
      <c r="D91" s="1"/>
      <c r="E91" s="1"/>
      <c r="F91" s="32"/>
      <c r="G91" s="1"/>
      <c r="I91" s="1"/>
      <c r="J91" s="1"/>
      <c r="AF91" s="44" t="s">
        <v>749</v>
      </c>
      <c r="AG91" s="44" t="s">
        <v>587</v>
      </c>
      <c r="AH91" s="44" t="s">
        <v>752</v>
      </c>
    </row>
    <row r="92" spans="3:34" x14ac:dyDescent="0.35">
      <c r="C92" s="1"/>
      <c r="D92" s="1"/>
      <c r="E92" s="1"/>
      <c r="F92" s="32"/>
      <c r="G92" s="1"/>
      <c r="I92" s="1"/>
      <c r="J92" s="1"/>
      <c r="AF92" s="60" t="s">
        <v>765</v>
      </c>
      <c r="AG92" s="61">
        <v>1</v>
      </c>
      <c r="AH92" s="60" t="s">
        <v>481</v>
      </c>
    </row>
    <row r="93" spans="3:34" x14ac:dyDescent="0.35">
      <c r="C93" s="1"/>
      <c r="D93" s="1"/>
      <c r="E93" s="1"/>
      <c r="F93" s="32"/>
      <c r="G93" s="1"/>
      <c r="I93" s="1"/>
      <c r="J93" s="1"/>
      <c r="AF93" s="60" t="s">
        <v>766</v>
      </c>
      <c r="AG93" s="61">
        <v>2</v>
      </c>
      <c r="AH93" s="60" t="s">
        <v>481</v>
      </c>
    </row>
    <row r="94" spans="3:34" x14ac:dyDescent="0.35">
      <c r="C94" s="1"/>
      <c r="D94" s="1"/>
      <c r="E94" s="1"/>
      <c r="F94" s="32"/>
      <c r="G94" s="1"/>
      <c r="I94" s="1"/>
      <c r="J94" s="1"/>
      <c r="AF94" s="60" t="s">
        <v>767</v>
      </c>
      <c r="AG94" s="61">
        <v>3</v>
      </c>
      <c r="AH94" s="60" t="s">
        <v>481</v>
      </c>
    </row>
    <row r="95" spans="3:34" x14ac:dyDescent="0.35">
      <c r="C95" s="1"/>
      <c r="D95" s="1"/>
      <c r="E95" s="1"/>
      <c r="F95" s="32"/>
      <c r="G95" s="1"/>
      <c r="I95" s="1"/>
      <c r="J95" s="1"/>
      <c r="AF95" s="60" t="s">
        <v>777</v>
      </c>
      <c r="AG95" t="s">
        <v>780</v>
      </c>
      <c r="AH95" s="60" t="s">
        <v>779</v>
      </c>
    </row>
    <row r="96" spans="3:34" x14ac:dyDescent="0.35">
      <c r="C96" s="1"/>
      <c r="D96" s="1"/>
      <c r="E96" s="1"/>
      <c r="F96" s="32"/>
      <c r="G96" s="1"/>
      <c r="I96" s="1"/>
      <c r="J96" s="1"/>
      <c r="AF96" s="60" t="s">
        <v>778</v>
      </c>
      <c r="AG96" t="s">
        <v>781</v>
      </c>
      <c r="AH96" s="60" t="s">
        <v>779</v>
      </c>
    </row>
    <row r="97" spans="3:34" x14ac:dyDescent="0.35">
      <c r="C97" s="1"/>
      <c r="D97" s="1"/>
      <c r="E97" s="1"/>
      <c r="F97" s="32"/>
      <c r="G97" s="1"/>
      <c r="I97" s="1"/>
      <c r="J97" s="1"/>
      <c r="AF97" s="60" t="s">
        <v>787</v>
      </c>
      <c r="AG97" t="s">
        <v>789</v>
      </c>
      <c r="AH97" s="60" t="s">
        <v>667</v>
      </c>
    </row>
    <row r="98" spans="3:34" x14ac:dyDescent="0.35">
      <c r="C98" s="1"/>
      <c r="D98" s="1"/>
      <c r="E98" s="1"/>
      <c r="F98" s="32"/>
      <c r="G98" s="1"/>
      <c r="I98" s="1"/>
      <c r="J98" s="1"/>
      <c r="AF98" s="60" t="s">
        <v>788</v>
      </c>
      <c r="AG98" t="s">
        <v>790</v>
      </c>
      <c r="AH98" s="60" t="s">
        <v>667</v>
      </c>
    </row>
    <row r="99" spans="3:34" x14ac:dyDescent="0.35">
      <c r="C99" s="1"/>
      <c r="D99" s="1"/>
      <c r="E99" s="1"/>
      <c r="F99" s="32"/>
      <c r="G99" s="1"/>
      <c r="I99" s="1"/>
      <c r="J99" s="1"/>
      <c r="AF99" s="60" t="s">
        <v>791</v>
      </c>
      <c r="AG99" t="s">
        <v>23</v>
      </c>
      <c r="AH99" s="60" t="s">
        <v>481</v>
      </c>
    </row>
    <row r="100" spans="3:34" x14ac:dyDescent="0.35">
      <c r="C100" s="1"/>
      <c r="D100" s="1"/>
      <c r="E100" s="1"/>
      <c r="F100" s="32"/>
      <c r="G100" s="1"/>
      <c r="I100" s="1"/>
      <c r="J100" s="1"/>
      <c r="AF100" s="60" t="s">
        <v>792</v>
      </c>
      <c r="AG100" t="s">
        <v>24</v>
      </c>
      <c r="AH100" s="60" t="s">
        <v>481</v>
      </c>
    </row>
    <row r="101" spans="3:34" x14ac:dyDescent="0.35">
      <c r="AF101" s="60" t="s">
        <v>793</v>
      </c>
      <c r="AG101" t="s">
        <v>25</v>
      </c>
      <c r="AH101" s="60" t="s">
        <v>481</v>
      </c>
    </row>
    <row r="102" spans="3:34" x14ac:dyDescent="0.35">
      <c r="AF102" s="60" t="s">
        <v>794</v>
      </c>
      <c r="AG102" t="s">
        <v>23</v>
      </c>
      <c r="AH102" s="60" t="s">
        <v>481</v>
      </c>
    </row>
    <row r="103" spans="3:34" x14ac:dyDescent="0.35">
      <c r="AF103" s="60" t="s">
        <v>795</v>
      </c>
      <c r="AG103" t="s">
        <v>24</v>
      </c>
      <c r="AH103" s="60" t="s">
        <v>481</v>
      </c>
    </row>
    <row r="104" spans="3:34" x14ac:dyDescent="0.35">
      <c r="AF104" s="60" t="s">
        <v>796</v>
      </c>
      <c r="AG104" t="s">
        <v>25</v>
      </c>
      <c r="AH104" s="60" t="s">
        <v>481</v>
      </c>
    </row>
    <row r="105" spans="3:34" x14ac:dyDescent="0.35">
      <c r="AF105" s="60" t="s">
        <v>803</v>
      </c>
      <c r="AG105" t="s">
        <v>805</v>
      </c>
      <c r="AH105" s="60" t="s">
        <v>779</v>
      </c>
    </row>
    <row r="106" spans="3:34" x14ac:dyDescent="0.35">
      <c r="AF106" s="60" t="s">
        <v>804</v>
      </c>
      <c r="AG106" t="s">
        <v>806</v>
      </c>
      <c r="AH106" s="60" t="s">
        <v>779</v>
      </c>
    </row>
  </sheetData>
  <customSheetViews>
    <customSheetView guid="{979F862D-12BF-4A02-A971-1E66B13A5C0F}" scale="55" hiddenColumns="1" state="hidden" topLeftCell="A19">
      <selection activeCell="Y116" sqref="Y116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K247"/>
  <sheetViews>
    <sheetView zoomScale="85" zoomScaleNormal="85" workbookViewId="0">
      <selection activeCell="H17" sqref="H17"/>
    </sheetView>
  </sheetViews>
  <sheetFormatPr defaultRowHeight="14.5" x14ac:dyDescent="0.35"/>
  <cols>
    <col min="2" max="2" width="17.6328125" customWidth="1"/>
    <col min="3" max="4" width="8.7265625" customWidth="1"/>
    <col min="5" max="5" width="22.7265625" customWidth="1"/>
    <col min="6" max="6" width="50.453125" bestFit="1" customWidth="1"/>
    <col min="7" max="7" width="12.81640625" customWidth="1"/>
    <col min="8" max="8" width="17" customWidth="1"/>
    <col min="9" max="9" width="22.453125" bestFit="1" customWidth="1"/>
  </cols>
  <sheetData>
    <row r="2" spans="2:9" ht="42" x14ac:dyDescent="0.35">
      <c r="B2" s="20" t="s">
        <v>79</v>
      </c>
      <c r="C2" s="20" t="s">
        <v>444</v>
      </c>
      <c r="D2" s="20" t="s">
        <v>459</v>
      </c>
      <c r="E2" s="20"/>
      <c r="F2" s="21" t="s">
        <v>80</v>
      </c>
      <c r="G2" s="20" t="s">
        <v>510</v>
      </c>
      <c r="H2" s="125" t="s">
        <v>825</v>
      </c>
    </row>
    <row r="3" spans="2:9" ht="15.5" x14ac:dyDescent="0.35">
      <c r="B3" s="33" t="s">
        <v>482</v>
      </c>
      <c r="C3" s="33" t="str">
        <f>LEFT(B3,4)</f>
        <v>K0FH</v>
      </c>
      <c r="D3" s="33" t="str">
        <f>MID(B3,5,2)</f>
        <v>M</v>
      </c>
      <c r="E3" s="33" t="s">
        <v>506</v>
      </c>
      <c r="F3" s="33" t="s">
        <v>81</v>
      </c>
      <c r="G3" s="126">
        <v>1</v>
      </c>
      <c r="H3" s="109" t="s">
        <v>826</v>
      </c>
    </row>
    <row r="4" spans="2:9" ht="15.5" x14ac:dyDescent="0.35">
      <c r="B4" s="33" t="s">
        <v>483</v>
      </c>
      <c r="C4" s="33" t="str">
        <f t="shared" ref="C4:C37" si="0">LEFT(B4,4)</f>
        <v>K0HA</v>
      </c>
      <c r="D4" s="33" t="str">
        <f t="shared" ref="D4:D37" si="1">MID(B4,5,2)</f>
        <v>M</v>
      </c>
      <c r="E4" s="33" t="s">
        <v>506</v>
      </c>
      <c r="F4" s="33" t="s">
        <v>82</v>
      </c>
      <c r="G4" s="127"/>
      <c r="H4" s="109" t="s">
        <v>827</v>
      </c>
    </row>
    <row r="5" spans="2:9" ht="15.5" x14ac:dyDescent="0.35">
      <c r="B5" s="33" t="s">
        <v>83</v>
      </c>
      <c r="C5" s="33" t="str">
        <f t="shared" si="0"/>
        <v>K0HH</v>
      </c>
      <c r="D5" s="33" t="str">
        <f t="shared" si="1"/>
        <v>F</v>
      </c>
      <c r="E5" s="33" t="s">
        <v>518</v>
      </c>
      <c r="F5" s="33" t="s">
        <v>495</v>
      </c>
      <c r="G5" s="127">
        <v>1</v>
      </c>
      <c r="H5" s="109" t="s">
        <v>828</v>
      </c>
    </row>
    <row r="6" spans="2:9" ht="15.5" x14ac:dyDescent="0.35">
      <c r="B6" s="33" t="s">
        <v>84</v>
      </c>
      <c r="C6" s="33" t="str">
        <f t="shared" si="0"/>
        <v>K0HH</v>
      </c>
      <c r="D6" s="33" t="str">
        <f t="shared" si="1"/>
        <v>M</v>
      </c>
      <c r="E6" s="33" t="s">
        <v>506</v>
      </c>
      <c r="F6" s="33" t="s">
        <v>495</v>
      </c>
      <c r="G6" s="127">
        <v>2</v>
      </c>
      <c r="H6" s="109" t="s">
        <v>828</v>
      </c>
    </row>
    <row r="7" spans="2:9" ht="15.5" x14ac:dyDescent="0.35">
      <c r="B7" s="33" t="s">
        <v>85</v>
      </c>
      <c r="C7" s="33" t="str">
        <f t="shared" si="0"/>
        <v>K0HH</v>
      </c>
      <c r="D7" s="33" t="str">
        <f t="shared" si="1"/>
        <v>MH</v>
      </c>
      <c r="E7" s="33" t="s">
        <v>544</v>
      </c>
      <c r="F7" s="33" t="s">
        <v>495</v>
      </c>
      <c r="G7" s="127"/>
      <c r="H7" s="109" t="s">
        <v>829</v>
      </c>
    </row>
    <row r="8" spans="2:9" ht="15.5" x14ac:dyDescent="0.35">
      <c r="B8" s="33" t="s">
        <v>547</v>
      </c>
      <c r="C8" s="33" t="str">
        <f>LEFT(B8,4)</f>
        <v>K0HH</v>
      </c>
      <c r="D8" s="33" t="str">
        <f>MID(B8,5,2)</f>
        <v>U</v>
      </c>
      <c r="E8" s="33" t="s">
        <v>519</v>
      </c>
      <c r="F8" s="33" t="s">
        <v>495</v>
      </c>
      <c r="G8" s="127">
        <v>1</v>
      </c>
      <c r="H8" s="109" t="s">
        <v>830</v>
      </c>
    </row>
    <row r="9" spans="2:9" ht="15.5" x14ac:dyDescent="0.35">
      <c r="B9" s="33" t="s">
        <v>86</v>
      </c>
      <c r="C9" s="33" t="str">
        <f t="shared" si="0"/>
        <v>K0HH</v>
      </c>
      <c r="D9" s="33" t="str">
        <f t="shared" si="1"/>
        <v>TN</v>
      </c>
      <c r="E9" s="33" t="s">
        <v>535</v>
      </c>
      <c r="F9" s="33" t="s">
        <v>87</v>
      </c>
      <c r="G9" s="127"/>
      <c r="H9" s="39"/>
      <c r="I9" s="109"/>
    </row>
    <row r="10" spans="2:9" ht="15.5" x14ac:dyDescent="0.35">
      <c r="B10" s="33" t="s">
        <v>88</v>
      </c>
      <c r="C10" s="33" t="str">
        <f t="shared" si="0"/>
        <v>K0HH</v>
      </c>
      <c r="D10" s="33" t="str">
        <f t="shared" si="1"/>
        <v>UH</v>
      </c>
      <c r="E10" s="33" t="s">
        <v>545</v>
      </c>
      <c r="F10" s="33" t="s">
        <v>495</v>
      </c>
      <c r="G10" s="127"/>
      <c r="H10" s="109" t="s">
        <v>829</v>
      </c>
    </row>
    <row r="11" spans="2:9" ht="15.5" x14ac:dyDescent="0.35">
      <c r="B11" s="33" t="s">
        <v>485</v>
      </c>
      <c r="C11" s="33" t="str">
        <f t="shared" si="0"/>
        <v>K0HL</v>
      </c>
      <c r="D11" s="33" t="str">
        <f>MID(B11,5,2)</f>
        <v>M</v>
      </c>
      <c r="E11" s="33" t="s">
        <v>506</v>
      </c>
      <c r="F11" s="33" t="s">
        <v>89</v>
      </c>
      <c r="G11" s="127"/>
      <c r="H11" s="39"/>
    </row>
    <row r="12" spans="2:9" ht="15.5" x14ac:dyDescent="0.35">
      <c r="B12" s="33" t="s">
        <v>486</v>
      </c>
      <c r="C12" s="33" t="str">
        <f t="shared" si="0"/>
        <v>K0HV</v>
      </c>
      <c r="D12" s="33" t="str">
        <f t="shared" si="1"/>
        <v>U</v>
      </c>
      <c r="E12" s="33" t="s">
        <v>519</v>
      </c>
      <c r="F12" s="33" t="s">
        <v>520</v>
      </c>
      <c r="G12" s="127">
        <v>1</v>
      </c>
      <c r="H12" s="109" t="s">
        <v>830</v>
      </c>
    </row>
    <row r="13" spans="2:9" ht="15.5" x14ac:dyDescent="0.35">
      <c r="B13" s="33" t="s">
        <v>487</v>
      </c>
      <c r="C13" s="33" t="str">
        <f t="shared" si="0"/>
        <v>K0HV</v>
      </c>
      <c r="D13" s="33" t="str">
        <f t="shared" si="1"/>
        <v>F</v>
      </c>
      <c r="E13" s="33" t="s">
        <v>518</v>
      </c>
      <c r="F13" s="33" t="s">
        <v>520</v>
      </c>
      <c r="G13" s="127">
        <v>1</v>
      </c>
      <c r="H13" s="39"/>
    </row>
    <row r="14" spans="2:9" x14ac:dyDescent="0.35">
      <c r="B14" s="33" t="s">
        <v>90</v>
      </c>
      <c r="C14" s="33" t="str">
        <f t="shared" si="0"/>
        <v>K0HW</v>
      </c>
      <c r="D14" s="33" t="str">
        <f t="shared" si="1"/>
        <v>MH</v>
      </c>
      <c r="E14" s="33" t="s">
        <v>544</v>
      </c>
      <c r="F14" s="33" t="s">
        <v>91</v>
      </c>
      <c r="G14" s="128"/>
      <c r="H14" s="36"/>
    </row>
    <row r="15" spans="2:9" x14ac:dyDescent="0.35">
      <c r="B15" s="33" t="s">
        <v>92</v>
      </c>
      <c r="C15" s="33" t="str">
        <f t="shared" si="0"/>
        <v>K0HW</v>
      </c>
      <c r="D15" s="33" t="str">
        <f t="shared" si="1"/>
        <v>TN</v>
      </c>
      <c r="E15" s="33" t="s">
        <v>535</v>
      </c>
      <c r="F15" s="33" t="s">
        <v>91</v>
      </c>
      <c r="G15" s="128"/>
      <c r="H15" s="36"/>
    </row>
    <row r="16" spans="2:9" x14ac:dyDescent="0.35">
      <c r="B16" s="33" t="s">
        <v>93</v>
      </c>
      <c r="C16" s="33" t="str">
        <f t="shared" si="0"/>
        <v>K0HW</v>
      </c>
      <c r="D16" s="33" t="str">
        <f t="shared" si="1"/>
        <v>UT</v>
      </c>
      <c r="E16" s="33" t="s">
        <v>533</v>
      </c>
      <c r="F16" s="33" t="s">
        <v>91</v>
      </c>
      <c r="G16" s="128"/>
      <c r="H16" s="36"/>
    </row>
    <row r="17" spans="2:9" x14ac:dyDescent="0.35">
      <c r="B17" s="33" t="s">
        <v>489</v>
      </c>
      <c r="C17" s="33" t="str">
        <f t="shared" si="0"/>
        <v>K0SE</v>
      </c>
      <c r="D17" s="33" t="str">
        <f t="shared" si="1"/>
        <v>M</v>
      </c>
      <c r="E17" s="33" t="s">
        <v>506</v>
      </c>
      <c r="F17" s="33" t="s">
        <v>94</v>
      </c>
      <c r="G17" s="128"/>
      <c r="H17" s="36"/>
    </row>
    <row r="18" spans="2:9" x14ac:dyDescent="0.35">
      <c r="B18" s="33" t="s">
        <v>95</v>
      </c>
      <c r="C18" s="33" t="str">
        <f t="shared" si="0"/>
        <v>K0SH</v>
      </c>
      <c r="D18" s="33" t="str">
        <f t="shared" si="1"/>
        <v>M</v>
      </c>
      <c r="E18" s="33" t="s">
        <v>506</v>
      </c>
      <c r="F18" s="33" t="s">
        <v>94</v>
      </c>
      <c r="G18" s="128"/>
      <c r="H18" s="36"/>
      <c r="I18" s="109"/>
    </row>
    <row r="19" spans="2:9" x14ac:dyDescent="0.35">
      <c r="B19" s="33" t="s">
        <v>96</v>
      </c>
      <c r="C19" s="33" t="str">
        <f t="shared" si="0"/>
        <v>K0SH</v>
      </c>
      <c r="D19" s="33" t="str">
        <f t="shared" si="1"/>
        <v>MH</v>
      </c>
      <c r="E19" s="33" t="s">
        <v>531</v>
      </c>
      <c r="F19" s="33" t="s">
        <v>537</v>
      </c>
      <c r="G19" s="128"/>
      <c r="H19" s="36"/>
    </row>
    <row r="20" spans="2:9" x14ac:dyDescent="0.35">
      <c r="B20" s="38" t="s">
        <v>97</v>
      </c>
      <c r="C20" s="33" t="str">
        <f t="shared" si="0"/>
        <v>K0SH</v>
      </c>
      <c r="D20" s="33" t="str">
        <f t="shared" si="1"/>
        <v>U</v>
      </c>
      <c r="E20" s="33" t="s">
        <v>536</v>
      </c>
      <c r="F20" s="33" t="s">
        <v>94</v>
      </c>
      <c r="G20" s="128"/>
      <c r="H20" s="36"/>
    </row>
    <row r="21" spans="2:9" x14ac:dyDescent="0.35">
      <c r="B21" s="33" t="s">
        <v>98</v>
      </c>
      <c r="C21" s="33" t="str">
        <f t="shared" si="0"/>
        <v>K0SH</v>
      </c>
      <c r="D21" s="33" t="str">
        <f t="shared" si="1"/>
        <v>UH</v>
      </c>
      <c r="E21" s="33" t="s">
        <v>538</v>
      </c>
      <c r="F21" s="33" t="s">
        <v>537</v>
      </c>
      <c r="G21" s="128"/>
      <c r="H21" s="36"/>
    </row>
    <row r="22" spans="2:9" x14ac:dyDescent="0.35">
      <c r="B22" s="33" t="s">
        <v>99</v>
      </c>
      <c r="C22" s="33" t="str">
        <f t="shared" si="0"/>
        <v>K0SH</v>
      </c>
      <c r="D22" s="33" t="str">
        <f t="shared" si="1"/>
        <v>UN</v>
      </c>
      <c r="E22" s="33" t="s">
        <v>539</v>
      </c>
      <c r="F22" s="33" t="s">
        <v>540</v>
      </c>
      <c r="G22" s="128"/>
      <c r="H22" s="36"/>
    </row>
    <row r="23" spans="2:9" x14ac:dyDescent="0.35">
      <c r="B23" s="33" t="s">
        <v>490</v>
      </c>
      <c r="C23" s="33" t="str">
        <f t="shared" si="0"/>
        <v>K0SP</v>
      </c>
      <c r="D23" s="33" t="str">
        <f t="shared" si="1"/>
        <v>M</v>
      </c>
      <c r="E23" s="33" t="s">
        <v>549</v>
      </c>
      <c r="F23" s="33" t="s">
        <v>548</v>
      </c>
      <c r="G23" s="128"/>
      <c r="H23" s="36"/>
    </row>
    <row r="24" spans="2:9" x14ac:dyDescent="0.35">
      <c r="B24" s="33" t="s">
        <v>100</v>
      </c>
      <c r="C24" s="33" t="str">
        <f t="shared" si="0"/>
        <v>K0SS</v>
      </c>
      <c r="D24" s="33" t="str">
        <f t="shared" si="1"/>
        <v>TN</v>
      </c>
      <c r="E24" s="33" t="s">
        <v>535</v>
      </c>
      <c r="F24" s="33" t="s">
        <v>101</v>
      </c>
      <c r="G24" s="128"/>
      <c r="H24" s="36"/>
    </row>
    <row r="25" spans="2:9" x14ac:dyDescent="0.35">
      <c r="B25" s="33" t="s">
        <v>102</v>
      </c>
      <c r="C25" s="33" t="str">
        <f t="shared" si="0"/>
        <v>K0SS</v>
      </c>
      <c r="D25" s="33" t="str">
        <f t="shared" si="1"/>
        <v>UT</v>
      </c>
      <c r="E25" s="33" t="s">
        <v>533</v>
      </c>
      <c r="F25" s="33" t="s">
        <v>94</v>
      </c>
      <c r="G25" s="128"/>
      <c r="H25" s="36"/>
    </row>
    <row r="26" spans="2:9" x14ac:dyDescent="0.35">
      <c r="B26" s="33" t="s">
        <v>103</v>
      </c>
      <c r="C26" s="33" t="str">
        <f t="shared" si="0"/>
        <v>K0SW</v>
      </c>
      <c r="D26" s="33" t="str">
        <f t="shared" si="1"/>
        <v>MH</v>
      </c>
      <c r="E26" s="33" t="s">
        <v>531</v>
      </c>
      <c r="F26" s="33" t="s">
        <v>543</v>
      </c>
      <c r="G26" s="128"/>
      <c r="H26" s="36"/>
    </row>
    <row r="27" spans="2:9" x14ac:dyDescent="0.35">
      <c r="B27" s="33" t="s">
        <v>105</v>
      </c>
      <c r="C27" s="33" t="str">
        <f t="shared" si="0"/>
        <v>K0SW</v>
      </c>
      <c r="D27" s="33" t="str">
        <f t="shared" si="1"/>
        <v>TN</v>
      </c>
      <c r="E27" s="33" t="s">
        <v>550</v>
      </c>
      <c r="F27" s="33" t="s">
        <v>104</v>
      </c>
      <c r="G27" s="128"/>
      <c r="H27" s="36"/>
    </row>
    <row r="28" spans="2:9" x14ac:dyDescent="0.35">
      <c r="B28" s="33" t="s">
        <v>106</v>
      </c>
      <c r="C28" s="33" t="str">
        <f t="shared" si="0"/>
        <v>K0SW</v>
      </c>
      <c r="D28" s="33" t="str">
        <f t="shared" si="1"/>
        <v>UH</v>
      </c>
      <c r="E28" s="33" t="s">
        <v>532</v>
      </c>
      <c r="F28" s="33" t="s">
        <v>543</v>
      </c>
      <c r="G28" s="128"/>
      <c r="H28" s="36"/>
    </row>
    <row r="29" spans="2:9" x14ac:dyDescent="0.35">
      <c r="B29" s="33" t="s">
        <v>107</v>
      </c>
      <c r="C29" s="33" t="str">
        <f t="shared" si="0"/>
        <v>K0SW</v>
      </c>
      <c r="D29" s="33" t="str">
        <f t="shared" si="1"/>
        <v>UN</v>
      </c>
      <c r="E29" s="33" t="s">
        <v>558</v>
      </c>
      <c r="F29" s="33" t="s">
        <v>104</v>
      </c>
      <c r="G29" s="128"/>
      <c r="H29" s="36"/>
    </row>
    <row r="30" spans="2:9" x14ac:dyDescent="0.35">
      <c r="B30" s="33" t="s">
        <v>108</v>
      </c>
      <c r="C30" s="33" t="str">
        <f t="shared" si="0"/>
        <v>K0SW</v>
      </c>
      <c r="D30" s="33" t="str">
        <f t="shared" si="1"/>
        <v>UT</v>
      </c>
      <c r="E30" s="33" t="s">
        <v>536</v>
      </c>
      <c r="F30" s="33" t="s">
        <v>104</v>
      </c>
      <c r="G30" s="128"/>
      <c r="H30" s="36"/>
    </row>
    <row r="31" spans="2:9" x14ac:dyDescent="0.35">
      <c r="B31" s="33" t="s">
        <v>109</v>
      </c>
      <c r="C31" s="33" t="str">
        <f t="shared" si="0"/>
        <v>K0WG</v>
      </c>
      <c r="D31" s="33" t="str">
        <f t="shared" si="1"/>
        <v/>
      </c>
      <c r="E31" s="33" t="s">
        <v>506</v>
      </c>
      <c r="F31" s="33" t="s">
        <v>110</v>
      </c>
      <c r="G31" s="128"/>
      <c r="H31" s="36"/>
    </row>
    <row r="32" spans="2:9" x14ac:dyDescent="0.35">
      <c r="B32" s="33" t="s">
        <v>111</v>
      </c>
      <c r="C32" s="33" t="str">
        <f t="shared" si="0"/>
        <v>K1CT</v>
      </c>
      <c r="D32" s="33" t="str">
        <f t="shared" si="1"/>
        <v>M</v>
      </c>
      <c r="E32" s="33" t="s">
        <v>506</v>
      </c>
      <c r="F32" s="33" t="s">
        <v>541</v>
      </c>
      <c r="G32" s="128"/>
      <c r="H32" s="36"/>
    </row>
    <row r="33" spans="2:8" x14ac:dyDescent="0.35">
      <c r="B33" s="33" t="s">
        <v>113</v>
      </c>
      <c r="C33" s="33" t="str">
        <f t="shared" si="0"/>
        <v>K1DC</v>
      </c>
      <c r="D33" s="33" t="str">
        <f t="shared" si="1"/>
        <v/>
      </c>
      <c r="E33" s="33" t="s">
        <v>506</v>
      </c>
      <c r="F33" s="33" t="s">
        <v>112</v>
      </c>
      <c r="G33" s="128"/>
      <c r="H33" s="36"/>
    </row>
    <row r="34" spans="2:8" x14ac:dyDescent="0.35">
      <c r="B34" s="33" t="s">
        <v>114</v>
      </c>
      <c r="C34" s="33" t="str">
        <f t="shared" si="0"/>
        <v>K1DF</v>
      </c>
      <c r="D34" s="33" t="str">
        <f t="shared" si="1"/>
        <v>M</v>
      </c>
      <c r="E34" s="33" t="s">
        <v>506</v>
      </c>
      <c r="F34" s="33" t="s">
        <v>115</v>
      </c>
      <c r="G34" s="128"/>
      <c r="H34" s="36"/>
    </row>
    <row r="35" spans="2:8" x14ac:dyDescent="0.35">
      <c r="B35" s="33" t="s">
        <v>116</v>
      </c>
      <c r="C35" s="33" t="str">
        <f t="shared" si="0"/>
        <v>K1DF</v>
      </c>
      <c r="D35" s="33" t="str">
        <f t="shared" si="1"/>
        <v>U</v>
      </c>
      <c r="E35" s="33" t="s">
        <v>536</v>
      </c>
      <c r="F35" s="33" t="s">
        <v>117</v>
      </c>
      <c r="G35" s="128"/>
      <c r="H35" s="36"/>
    </row>
    <row r="36" spans="2:8" x14ac:dyDescent="0.35">
      <c r="B36" s="33" t="s">
        <v>118</v>
      </c>
      <c r="C36" s="33" t="str">
        <f t="shared" si="0"/>
        <v>K1DR</v>
      </c>
      <c r="D36" s="33" t="str">
        <f t="shared" si="1"/>
        <v/>
      </c>
      <c r="E36" s="33"/>
      <c r="F36" s="33" t="s">
        <v>119</v>
      </c>
      <c r="G36" s="128"/>
      <c r="H36" s="36"/>
    </row>
    <row r="37" spans="2:8" x14ac:dyDescent="0.35">
      <c r="B37" s="33" t="s">
        <v>551</v>
      </c>
      <c r="C37" s="33" t="str">
        <f t="shared" si="0"/>
        <v>K1DR</v>
      </c>
      <c r="D37" s="33" t="str">
        <f t="shared" si="1"/>
        <v>UH</v>
      </c>
      <c r="E37" s="33" t="s">
        <v>545</v>
      </c>
      <c r="F37" s="33" t="s">
        <v>119</v>
      </c>
      <c r="G37" s="128"/>
      <c r="H37" s="36"/>
    </row>
    <row r="38" spans="2:8" x14ac:dyDescent="0.35">
      <c r="B38" s="33" t="s">
        <v>120</v>
      </c>
      <c r="C38" s="33" t="str">
        <f t="shared" ref="C38:C74" si="2">LEFT(B38,4)</f>
        <v>K1DS</v>
      </c>
      <c r="D38" s="33" t="str">
        <f t="shared" ref="D38:D74" si="3">MID(B38,5,2)</f>
        <v/>
      </c>
      <c r="E38" s="33" t="s">
        <v>506</v>
      </c>
      <c r="F38" s="33" t="s">
        <v>112</v>
      </c>
      <c r="G38" s="128"/>
      <c r="H38" s="36"/>
    </row>
    <row r="39" spans="2:8" x14ac:dyDescent="0.35">
      <c r="B39" s="33" t="s">
        <v>552</v>
      </c>
      <c r="C39" s="33" t="str">
        <f t="shared" si="2"/>
        <v>K1DS</v>
      </c>
      <c r="D39" s="33" t="str">
        <f t="shared" si="3"/>
        <v>M</v>
      </c>
      <c r="E39" s="33" t="s">
        <v>506</v>
      </c>
      <c r="F39" s="33" t="s">
        <v>112</v>
      </c>
      <c r="G39" s="128"/>
      <c r="H39" s="36"/>
    </row>
    <row r="40" spans="2:8" x14ac:dyDescent="0.35">
      <c r="B40" s="33" t="s">
        <v>554</v>
      </c>
      <c r="C40" s="33" t="str">
        <f t="shared" si="2"/>
        <v>K1DS</v>
      </c>
      <c r="D40" s="33" t="str">
        <f t="shared" si="3"/>
        <v>U</v>
      </c>
      <c r="E40" s="33" t="s">
        <v>553</v>
      </c>
      <c r="F40" s="33" t="s">
        <v>112</v>
      </c>
      <c r="G40" s="128"/>
      <c r="H40" s="36"/>
    </row>
    <row r="41" spans="2:8" x14ac:dyDescent="0.35">
      <c r="B41" s="33" t="s">
        <v>121</v>
      </c>
      <c r="C41" s="33" t="str">
        <f t="shared" si="2"/>
        <v>K1DW</v>
      </c>
      <c r="D41" s="33" t="str">
        <f t="shared" si="3"/>
        <v>MH</v>
      </c>
      <c r="E41" s="33" t="s">
        <v>506</v>
      </c>
      <c r="F41" s="33" t="s">
        <v>542</v>
      </c>
      <c r="G41" s="128"/>
      <c r="H41" s="36"/>
    </row>
    <row r="42" spans="2:8" x14ac:dyDescent="0.35">
      <c r="B42" s="33" t="s">
        <v>123</v>
      </c>
      <c r="C42" s="33" t="str">
        <f t="shared" si="2"/>
        <v>K1DW</v>
      </c>
      <c r="D42" s="33" t="str">
        <f t="shared" si="3"/>
        <v>UH</v>
      </c>
      <c r="E42" s="33" t="s">
        <v>539</v>
      </c>
      <c r="F42" s="33" t="s">
        <v>542</v>
      </c>
      <c r="G42" s="128"/>
      <c r="H42" s="36"/>
    </row>
    <row r="43" spans="2:8" x14ac:dyDescent="0.35">
      <c r="B43" s="33" t="s">
        <v>124</v>
      </c>
      <c r="C43" s="33" t="str">
        <f t="shared" si="2"/>
        <v>K1DW</v>
      </c>
      <c r="D43" s="33" t="str">
        <f t="shared" si="3"/>
        <v>UN</v>
      </c>
      <c r="E43" s="33" t="s">
        <v>557</v>
      </c>
      <c r="F43" s="33" t="s">
        <v>122</v>
      </c>
      <c r="G43" s="128"/>
      <c r="H43" s="36"/>
    </row>
    <row r="44" spans="2:8" x14ac:dyDescent="0.35">
      <c r="B44" s="33" t="s">
        <v>125</v>
      </c>
      <c r="C44" s="33" t="str">
        <f t="shared" si="2"/>
        <v>K1ST</v>
      </c>
      <c r="D44" s="33" t="str">
        <f t="shared" si="3"/>
        <v/>
      </c>
      <c r="E44" s="33" t="s">
        <v>506</v>
      </c>
      <c r="F44" s="33" t="s">
        <v>126</v>
      </c>
      <c r="G44" s="128"/>
      <c r="H44" s="36"/>
    </row>
    <row r="45" spans="2:8" x14ac:dyDescent="0.35">
      <c r="B45" s="33" t="s">
        <v>555</v>
      </c>
      <c r="C45" s="33" t="str">
        <f t="shared" si="2"/>
        <v>K1ST</v>
      </c>
      <c r="D45" s="33" t="str">
        <f t="shared" si="3"/>
        <v>M</v>
      </c>
      <c r="E45" s="33" t="s">
        <v>506</v>
      </c>
      <c r="F45" s="33" t="s">
        <v>126</v>
      </c>
      <c r="G45" s="128"/>
      <c r="H45" s="36"/>
    </row>
    <row r="46" spans="2:8" x14ac:dyDescent="0.35">
      <c r="B46" s="33" t="s">
        <v>127</v>
      </c>
      <c r="C46" s="33" t="str">
        <f t="shared" si="2"/>
        <v>K1SW</v>
      </c>
      <c r="D46" s="33" t="str">
        <f t="shared" si="3"/>
        <v>UH</v>
      </c>
      <c r="E46" s="33" t="s">
        <v>545</v>
      </c>
      <c r="F46" s="33" t="s">
        <v>128</v>
      </c>
      <c r="G46" s="128"/>
      <c r="H46" s="36"/>
    </row>
    <row r="47" spans="2:8" x14ac:dyDescent="0.35">
      <c r="B47" s="33" t="s">
        <v>129</v>
      </c>
      <c r="C47" s="33" t="str">
        <f t="shared" si="2"/>
        <v>K1SW</v>
      </c>
      <c r="D47" s="33" t="str">
        <f t="shared" si="3"/>
        <v>UN</v>
      </c>
      <c r="E47" s="33" t="s">
        <v>556</v>
      </c>
      <c r="F47" s="33" t="s">
        <v>128</v>
      </c>
      <c r="G47" s="128"/>
      <c r="H47" s="36"/>
    </row>
    <row r="48" spans="2:8" x14ac:dyDescent="0.35">
      <c r="B48" s="33" t="s">
        <v>130</v>
      </c>
      <c r="C48" s="33" t="str">
        <f t="shared" si="2"/>
        <v>K2CP</v>
      </c>
      <c r="D48" s="33" t="str">
        <f t="shared" si="3"/>
        <v>NT</v>
      </c>
      <c r="E48" s="33" t="s">
        <v>559</v>
      </c>
      <c r="F48" s="33" t="s">
        <v>131</v>
      </c>
      <c r="G48" s="128"/>
      <c r="H48" s="36"/>
    </row>
    <row r="49" spans="2:8" x14ac:dyDescent="0.35">
      <c r="B49" s="33" t="s">
        <v>132</v>
      </c>
      <c r="C49" s="33" t="str">
        <f t="shared" si="2"/>
        <v>K2CP</v>
      </c>
      <c r="D49" s="33" t="str">
        <f t="shared" si="3"/>
        <v>UT</v>
      </c>
      <c r="E49" s="33" t="s">
        <v>536</v>
      </c>
      <c r="F49" s="33" t="s">
        <v>131</v>
      </c>
      <c r="G49" s="128"/>
      <c r="H49" s="36"/>
    </row>
    <row r="50" spans="2:8" x14ac:dyDescent="0.35">
      <c r="B50" s="33" t="s">
        <v>133</v>
      </c>
      <c r="C50" s="33" t="str">
        <f t="shared" si="2"/>
        <v>K2CS</v>
      </c>
      <c r="D50" s="33" t="str">
        <f t="shared" si="3"/>
        <v>TN</v>
      </c>
      <c r="E50" s="33" t="s">
        <v>535</v>
      </c>
      <c r="F50" s="33" t="s">
        <v>134</v>
      </c>
      <c r="G50" s="128"/>
      <c r="H50" s="36"/>
    </row>
    <row r="51" spans="2:8" x14ac:dyDescent="0.35">
      <c r="B51" s="41" t="s">
        <v>135</v>
      </c>
      <c r="C51" s="41" t="str">
        <f t="shared" si="2"/>
        <v>K2CS</v>
      </c>
      <c r="D51" s="41" t="str">
        <f t="shared" si="3"/>
        <v>TN</v>
      </c>
      <c r="E51" s="41" t="s">
        <v>535</v>
      </c>
      <c r="F51" s="41" t="s">
        <v>136</v>
      </c>
      <c r="G51" s="129"/>
      <c r="H51" s="42"/>
    </row>
    <row r="52" spans="2:8" x14ac:dyDescent="0.35">
      <c r="B52" s="41" t="s">
        <v>137</v>
      </c>
      <c r="C52" s="41" t="str">
        <f t="shared" si="2"/>
        <v>K2CS</v>
      </c>
      <c r="D52" s="41" t="str">
        <f t="shared" si="3"/>
        <v>TN</v>
      </c>
      <c r="E52" s="41" t="s">
        <v>535</v>
      </c>
      <c r="F52" s="41" t="s">
        <v>136</v>
      </c>
      <c r="G52" s="43"/>
      <c r="H52" s="42"/>
    </row>
    <row r="53" spans="2:8" x14ac:dyDescent="0.35">
      <c r="B53" s="33" t="s">
        <v>138</v>
      </c>
      <c r="C53" s="33" t="str">
        <f t="shared" si="2"/>
        <v>K2CS</v>
      </c>
      <c r="D53" s="33" t="str">
        <f t="shared" si="3"/>
        <v>UT</v>
      </c>
      <c r="E53" s="33" t="s">
        <v>536</v>
      </c>
      <c r="F53" s="33" t="s">
        <v>134</v>
      </c>
      <c r="G53" s="128"/>
      <c r="H53" s="36"/>
    </row>
    <row r="54" spans="2:8" x14ac:dyDescent="0.35">
      <c r="B54" s="41" t="s">
        <v>139</v>
      </c>
      <c r="C54" s="41" t="str">
        <f t="shared" si="2"/>
        <v>K2CS</v>
      </c>
      <c r="D54" s="41" t="str">
        <f t="shared" si="3"/>
        <v>UT</v>
      </c>
      <c r="E54" s="41" t="s">
        <v>536</v>
      </c>
      <c r="F54" s="41" t="s">
        <v>136</v>
      </c>
      <c r="G54" s="129"/>
      <c r="H54" s="42"/>
    </row>
    <row r="55" spans="2:8" x14ac:dyDescent="0.35">
      <c r="B55" s="41" t="s">
        <v>140</v>
      </c>
      <c r="C55" s="41" t="str">
        <f t="shared" si="2"/>
        <v>K2CS</v>
      </c>
      <c r="D55" s="41" t="str">
        <f t="shared" si="3"/>
        <v>UT</v>
      </c>
      <c r="E55" s="41" t="s">
        <v>536</v>
      </c>
      <c r="F55" s="41" t="s">
        <v>136</v>
      </c>
      <c r="G55" s="129"/>
      <c r="H55" s="42"/>
    </row>
    <row r="56" spans="2:8" x14ac:dyDescent="0.35">
      <c r="B56" s="33" t="s">
        <v>141</v>
      </c>
      <c r="C56" s="33" t="str">
        <f t="shared" si="2"/>
        <v>K2HL</v>
      </c>
      <c r="D56" s="33" t="str">
        <f t="shared" si="3"/>
        <v/>
      </c>
      <c r="E56" s="33" t="s">
        <v>506</v>
      </c>
      <c r="F56" s="33" t="s">
        <v>560</v>
      </c>
      <c r="G56" s="128"/>
      <c r="H56" s="36"/>
    </row>
    <row r="57" spans="2:8" x14ac:dyDescent="0.35">
      <c r="B57" s="41" t="s">
        <v>143</v>
      </c>
      <c r="C57" s="41" t="str">
        <f t="shared" si="2"/>
        <v>K2HM</v>
      </c>
      <c r="D57" s="41" t="str">
        <f t="shared" si="3"/>
        <v/>
      </c>
      <c r="E57" s="41" t="s">
        <v>506</v>
      </c>
      <c r="F57" s="41" t="s">
        <v>561</v>
      </c>
      <c r="G57" s="129"/>
      <c r="H57" s="42"/>
    </row>
    <row r="58" spans="2:8" x14ac:dyDescent="0.35">
      <c r="B58" s="41" t="s">
        <v>460</v>
      </c>
      <c r="C58" s="41" t="str">
        <f t="shared" si="2"/>
        <v>K2HN</v>
      </c>
      <c r="D58" s="41" t="str">
        <f t="shared" si="3"/>
        <v>F</v>
      </c>
      <c r="E58" s="41" t="s">
        <v>563</v>
      </c>
      <c r="F58" s="41" t="s">
        <v>144</v>
      </c>
      <c r="G58" s="129"/>
      <c r="H58" s="42"/>
    </row>
    <row r="59" spans="2:8" x14ac:dyDescent="0.35">
      <c r="B59" s="41" t="s">
        <v>461</v>
      </c>
      <c r="C59" s="41" t="str">
        <f t="shared" si="2"/>
        <v>K2HN</v>
      </c>
      <c r="D59" s="41" t="str">
        <f t="shared" si="3"/>
        <v>M</v>
      </c>
      <c r="E59" s="41" t="s">
        <v>506</v>
      </c>
      <c r="F59" s="41" t="s">
        <v>144</v>
      </c>
      <c r="G59" s="129"/>
      <c r="H59" s="42"/>
    </row>
    <row r="60" spans="2:8" x14ac:dyDescent="0.35">
      <c r="B60" s="41" t="s">
        <v>462</v>
      </c>
      <c r="C60" s="41" t="str">
        <f t="shared" si="2"/>
        <v>K2HN</v>
      </c>
      <c r="D60" s="41" t="str">
        <f t="shared" si="3"/>
        <v>MH</v>
      </c>
      <c r="E60" s="41" t="s">
        <v>564</v>
      </c>
      <c r="F60" s="41" t="s">
        <v>144</v>
      </c>
      <c r="G60" s="129"/>
      <c r="H60" s="42"/>
    </row>
    <row r="61" spans="2:8" x14ac:dyDescent="0.35">
      <c r="B61" s="41" t="s">
        <v>463</v>
      </c>
      <c r="C61" s="41" t="str">
        <f t="shared" si="2"/>
        <v>K2HN</v>
      </c>
      <c r="D61" s="41" t="str">
        <f t="shared" si="3"/>
        <v>TN</v>
      </c>
      <c r="E61" s="41" t="s">
        <v>535</v>
      </c>
      <c r="F61" s="41" t="s">
        <v>144</v>
      </c>
      <c r="G61" s="129"/>
      <c r="H61" s="42"/>
    </row>
    <row r="62" spans="2:8" x14ac:dyDescent="0.35">
      <c r="B62" s="41" t="s">
        <v>464</v>
      </c>
      <c r="C62" s="41" t="str">
        <f t="shared" si="2"/>
        <v>K2HN</v>
      </c>
      <c r="D62" s="41" t="str">
        <f t="shared" si="3"/>
        <v>UN</v>
      </c>
      <c r="E62" s="41" t="s">
        <v>539</v>
      </c>
      <c r="F62" s="41" t="s">
        <v>144</v>
      </c>
      <c r="G62" s="129"/>
      <c r="H62" s="42"/>
    </row>
    <row r="63" spans="2:8" x14ac:dyDescent="0.35">
      <c r="B63" s="41" t="s">
        <v>476</v>
      </c>
      <c r="C63" s="41" t="str">
        <f t="shared" si="2"/>
        <v>K2HN</v>
      </c>
      <c r="D63" s="41" t="str">
        <f t="shared" si="3"/>
        <v>U</v>
      </c>
      <c r="E63" s="41" t="s">
        <v>519</v>
      </c>
      <c r="F63" s="41" t="s">
        <v>144</v>
      </c>
      <c r="G63" s="129"/>
      <c r="H63" s="42"/>
    </row>
    <row r="64" spans="2:8" x14ac:dyDescent="0.35">
      <c r="B64" s="41" t="s">
        <v>474</v>
      </c>
      <c r="C64" s="41" t="str">
        <f t="shared" si="2"/>
        <v>K2HN</v>
      </c>
      <c r="D64" s="41" t="str">
        <f t="shared" si="3"/>
        <v>UT</v>
      </c>
      <c r="E64" s="41" t="s">
        <v>536</v>
      </c>
      <c r="F64" s="41" t="s">
        <v>144</v>
      </c>
      <c r="G64" s="129"/>
      <c r="H64" s="42"/>
    </row>
    <row r="65" spans="2:8" x14ac:dyDescent="0.35">
      <c r="B65" s="41" t="s">
        <v>475</v>
      </c>
      <c r="C65" s="41" t="str">
        <f t="shared" si="2"/>
        <v>K2HN</v>
      </c>
      <c r="D65" s="41" t="str">
        <f t="shared" si="3"/>
        <v>UH</v>
      </c>
      <c r="E65" s="41" t="s">
        <v>545</v>
      </c>
      <c r="F65" s="41" t="s">
        <v>144</v>
      </c>
      <c r="G65" s="129"/>
      <c r="H65" s="42"/>
    </row>
    <row r="66" spans="2:8" x14ac:dyDescent="0.35">
      <c r="B66" s="41" t="s">
        <v>145</v>
      </c>
      <c r="C66" s="41" t="str">
        <f t="shared" si="2"/>
        <v>K2HV</v>
      </c>
      <c r="D66" s="41" t="str">
        <f t="shared" si="3"/>
        <v/>
      </c>
      <c r="E66" s="41" t="s">
        <v>506</v>
      </c>
      <c r="F66" s="41" t="s">
        <v>562</v>
      </c>
      <c r="G66" s="129"/>
      <c r="H66" s="42"/>
    </row>
    <row r="67" spans="2:8" x14ac:dyDescent="0.35">
      <c r="B67" s="33" t="s">
        <v>146</v>
      </c>
      <c r="C67" s="33" t="str">
        <f t="shared" si="2"/>
        <v>K2LN</v>
      </c>
      <c r="D67" s="33" t="str">
        <f t="shared" si="3"/>
        <v/>
      </c>
      <c r="E67" s="33" t="s">
        <v>506</v>
      </c>
      <c r="F67" s="33" t="s">
        <v>142</v>
      </c>
      <c r="G67" s="128"/>
      <c r="H67" s="36"/>
    </row>
    <row r="68" spans="2:8" x14ac:dyDescent="0.35">
      <c r="B68" s="33" t="s">
        <v>147</v>
      </c>
      <c r="C68" s="33" t="str">
        <f t="shared" si="2"/>
        <v>K2SH</v>
      </c>
      <c r="D68" s="33" t="str">
        <f t="shared" si="3"/>
        <v/>
      </c>
      <c r="E68" s="33" t="s">
        <v>506</v>
      </c>
      <c r="F68" s="33" t="s">
        <v>148</v>
      </c>
      <c r="G68" s="128"/>
      <c r="H68" s="36"/>
    </row>
    <row r="69" spans="2:8" x14ac:dyDescent="0.35">
      <c r="B69" s="33" t="s">
        <v>566</v>
      </c>
      <c r="C69" s="33" t="str">
        <f t="shared" si="2"/>
        <v>K2SH</v>
      </c>
      <c r="D69" s="33" t="str">
        <f t="shared" si="3"/>
        <v>M</v>
      </c>
      <c r="E69" s="33" t="s">
        <v>506</v>
      </c>
      <c r="F69" s="33" t="s">
        <v>148</v>
      </c>
      <c r="G69" s="128"/>
      <c r="H69" s="36"/>
    </row>
    <row r="70" spans="2:8" x14ac:dyDescent="0.35">
      <c r="B70" s="33" t="s">
        <v>149</v>
      </c>
      <c r="C70" s="33" t="str">
        <f t="shared" si="2"/>
        <v>K2WG</v>
      </c>
      <c r="D70" s="33" t="str">
        <f t="shared" si="3"/>
        <v/>
      </c>
      <c r="E70" s="33" t="s">
        <v>506</v>
      </c>
      <c r="F70" s="33" t="s">
        <v>150</v>
      </c>
      <c r="G70" s="128"/>
      <c r="H70" s="36"/>
    </row>
    <row r="71" spans="2:8" x14ac:dyDescent="0.35">
      <c r="B71" s="33" t="s">
        <v>573</v>
      </c>
      <c r="C71" s="33" t="str">
        <f t="shared" si="2"/>
        <v>K2WG</v>
      </c>
      <c r="D71" s="33" t="str">
        <f t="shared" si="3"/>
        <v>M</v>
      </c>
      <c r="E71" s="33" t="s">
        <v>506</v>
      </c>
      <c r="F71" s="33" t="s">
        <v>150</v>
      </c>
      <c r="G71" s="128"/>
      <c r="H71" s="36"/>
    </row>
    <row r="72" spans="2:8" x14ac:dyDescent="0.35">
      <c r="B72" s="33" t="s">
        <v>151</v>
      </c>
      <c r="C72" s="33" t="str">
        <f t="shared" si="2"/>
        <v>K3CM</v>
      </c>
      <c r="D72" s="33" t="str">
        <f t="shared" si="3"/>
        <v/>
      </c>
      <c r="E72" s="33"/>
      <c r="F72" s="33" t="s">
        <v>152</v>
      </c>
      <c r="G72" s="128">
        <v>2</v>
      </c>
      <c r="H72" s="36"/>
    </row>
    <row r="73" spans="2:8" x14ac:dyDescent="0.35">
      <c r="B73" s="33" t="s">
        <v>153</v>
      </c>
      <c r="C73" s="33" t="str">
        <f t="shared" si="2"/>
        <v>K3HS</v>
      </c>
      <c r="D73" s="33" t="str">
        <f t="shared" si="3"/>
        <v/>
      </c>
      <c r="E73" s="33"/>
      <c r="F73" s="33" t="s">
        <v>655</v>
      </c>
      <c r="G73" s="128">
        <v>1</v>
      </c>
      <c r="H73" s="36"/>
    </row>
    <row r="74" spans="2:8" x14ac:dyDescent="0.35">
      <c r="B74" s="33" t="s">
        <v>154</v>
      </c>
      <c r="C74" s="33" t="str">
        <f t="shared" si="2"/>
        <v>K3PS</v>
      </c>
      <c r="D74" s="33" t="str">
        <f t="shared" si="3"/>
        <v/>
      </c>
      <c r="E74" s="33"/>
      <c r="F74" s="33" t="s">
        <v>155</v>
      </c>
      <c r="G74" s="128"/>
      <c r="H74" s="36"/>
    </row>
    <row r="75" spans="2:8" x14ac:dyDescent="0.35">
      <c r="B75" s="33" t="s">
        <v>156</v>
      </c>
      <c r="C75" s="33" t="str">
        <f t="shared" ref="C75:C138" si="4">LEFT(B75,4)</f>
        <v>K3SA</v>
      </c>
      <c r="D75" s="33" t="str">
        <f t="shared" ref="D75:D138" si="5">MID(B75,5,2)</f>
        <v/>
      </c>
      <c r="E75" s="33"/>
      <c r="F75" s="33" t="s">
        <v>157</v>
      </c>
      <c r="G75" s="128"/>
      <c r="H75" s="36"/>
    </row>
    <row r="76" spans="2:8" x14ac:dyDescent="0.35">
      <c r="B76" s="41" t="s">
        <v>158</v>
      </c>
      <c r="C76" s="41" t="str">
        <f t="shared" si="4"/>
        <v>K3SE</v>
      </c>
      <c r="D76" s="41" t="str">
        <f t="shared" si="5"/>
        <v/>
      </c>
      <c r="E76" s="41"/>
      <c r="F76" s="41" t="s">
        <v>159</v>
      </c>
      <c r="G76" s="129"/>
      <c r="H76" s="42"/>
    </row>
    <row r="77" spans="2:8" x14ac:dyDescent="0.35">
      <c r="B77" s="33" t="s">
        <v>160</v>
      </c>
      <c r="C77" s="33" t="str">
        <f t="shared" si="4"/>
        <v>K3SM</v>
      </c>
      <c r="D77" s="33" t="str">
        <f t="shared" si="5"/>
        <v/>
      </c>
      <c r="E77" s="33"/>
      <c r="F77" s="33" t="s">
        <v>649</v>
      </c>
      <c r="G77" s="128">
        <v>2</v>
      </c>
      <c r="H77" s="36"/>
    </row>
    <row r="78" spans="2:8" x14ac:dyDescent="0.35">
      <c r="B78" s="33" t="s">
        <v>161</v>
      </c>
      <c r="C78" s="33" t="str">
        <f t="shared" si="4"/>
        <v>K3SS</v>
      </c>
      <c r="D78" s="33" t="str">
        <f t="shared" si="5"/>
        <v/>
      </c>
      <c r="E78" s="33"/>
      <c r="F78" s="33" t="s">
        <v>654</v>
      </c>
      <c r="G78" s="128">
        <v>1</v>
      </c>
      <c r="H78" s="36"/>
    </row>
    <row r="79" spans="2:8" x14ac:dyDescent="0.35">
      <c r="B79" s="33" t="s">
        <v>162</v>
      </c>
      <c r="C79" s="33" t="str">
        <f t="shared" si="4"/>
        <v>K4CL</v>
      </c>
      <c r="D79" s="33" t="str">
        <f t="shared" si="5"/>
        <v/>
      </c>
      <c r="E79" s="33"/>
      <c r="F79" s="33" t="s">
        <v>163</v>
      </c>
      <c r="G79" s="128">
        <v>1</v>
      </c>
      <c r="H79" s="36"/>
    </row>
    <row r="80" spans="2:8" x14ac:dyDescent="0.35">
      <c r="B80" s="33" t="s">
        <v>164</v>
      </c>
      <c r="C80" s="33" t="str">
        <f t="shared" si="4"/>
        <v>K4CP</v>
      </c>
      <c r="D80" s="33" t="str">
        <f t="shared" si="5"/>
        <v>M</v>
      </c>
      <c r="E80" s="33" t="s">
        <v>506</v>
      </c>
      <c r="F80" s="33" t="s">
        <v>165</v>
      </c>
      <c r="G80" s="128">
        <v>1</v>
      </c>
      <c r="H80" s="36"/>
    </row>
    <row r="81" spans="2:8" x14ac:dyDescent="0.35">
      <c r="B81" s="33" t="s">
        <v>166</v>
      </c>
      <c r="C81" s="33" t="str">
        <f t="shared" si="4"/>
        <v>K4CP</v>
      </c>
      <c r="D81" s="33" t="str">
        <f t="shared" si="5"/>
        <v>U</v>
      </c>
      <c r="E81" s="33"/>
      <c r="F81" s="33" t="s">
        <v>165</v>
      </c>
      <c r="G81" s="128"/>
      <c r="H81" s="36"/>
    </row>
    <row r="82" spans="2:8" x14ac:dyDescent="0.35">
      <c r="B82" s="33" t="s">
        <v>167</v>
      </c>
      <c r="C82" s="33" t="str">
        <f t="shared" si="4"/>
        <v>K4CP</v>
      </c>
      <c r="D82" s="33" t="str">
        <f t="shared" si="5"/>
        <v>UH</v>
      </c>
      <c r="E82" s="33"/>
      <c r="F82" s="33" t="s">
        <v>165</v>
      </c>
      <c r="G82" s="128"/>
      <c r="H82" s="36"/>
    </row>
    <row r="83" spans="2:8" x14ac:dyDescent="0.35">
      <c r="B83" s="41" t="s">
        <v>168</v>
      </c>
      <c r="C83" s="41" t="str">
        <f t="shared" si="4"/>
        <v>K4CS</v>
      </c>
      <c r="D83" s="41" t="str">
        <f t="shared" si="5"/>
        <v/>
      </c>
      <c r="E83" s="41"/>
      <c r="F83" s="41" t="s">
        <v>169</v>
      </c>
      <c r="G83" s="129"/>
      <c r="H83" s="42"/>
    </row>
    <row r="84" spans="2:8" x14ac:dyDescent="0.35">
      <c r="B84" s="33" t="s">
        <v>170</v>
      </c>
      <c r="C84" s="33" t="str">
        <f t="shared" si="4"/>
        <v>K4QP</v>
      </c>
      <c r="D84" s="33" t="str">
        <f t="shared" si="5"/>
        <v>M</v>
      </c>
      <c r="E84" s="33" t="s">
        <v>506</v>
      </c>
      <c r="F84" s="33" t="s">
        <v>661</v>
      </c>
      <c r="G84" s="128">
        <v>1</v>
      </c>
      <c r="H84" s="36"/>
    </row>
    <row r="85" spans="2:8" x14ac:dyDescent="0.35">
      <c r="B85" s="33" t="s">
        <v>171</v>
      </c>
      <c r="C85" s="33" t="str">
        <f t="shared" si="4"/>
        <v>K4QT</v>
      </c>
      <c r="D85" s="33" t="str">
        <f t="shared" si="5"/>
        <v/>
      </c>
      <c r="E85" s="33"/>
      <c r="F85" s="33" t="s">
        <v>172</v>
      </c>
      <c r="G85" s="128"/>
      <c r="H85" s="36"/>
    </row>
    <row r="86" spans="2:8" x14ac:dyDescent="0.35">
      <c r="B86" s="33" t="s">
        <v>173</v>
      </c>
      <c r="C86" s="33" t="str">
        <f t="shared" si="4"/>
        <v>K4RL</v>
      </c>
      <c r="D86" s="33" t="str">
        <f t="shared" si="5"/>
        <v/>
      </c>
      <c r="E86" s="33"/>
      <c r="F86" s="33" t="s">
        <v>174</v>
      </c>
      <c r="G86" s="128"/>
      <c r="H86" s="36"/>
    </row>
    <row r="87" spans="2:8" x14ac:dyDescent="0.35">
      <c r="B87" s="33" t="s">
        <v>465</v>
      </c>
      <c r="C87" s="33" t="str">
        <f t="shared" si="4"/>
        <v>K4SW</v>
      </c>
      <c r="D87" s="33" t="str">
        <f t="shared" si="5"/>
        <v>M</v>
      </c>
      <c r="E87" s="33" t="s">
        <v>506</v>
      </c>
      <c r="F87" s="33" t="s">
        <v>175</v>
      </c>
      <c r="G87" s="128"/>
      <c r="H87" s="36"/>
    </row>
    <row r="88" spans="2:8" x14ac:dyDescent="0.35">
      <c r="B88" s="33" t="s">
        <v>176</v>
      </c>
      <c r="C88" s="33" t="str">
        <f t="shared" si="4"/>
        <v>K4SW</v>
      </c>
      <c r="D88" s="33" t="str">
        <f t="shared" si="5"/>
        <v>U</v>
      </c>
      <c r="E88" s="33"/>
      <c r="F88" s="33" t="s">
        <v>175</v>
      </c>
      <c r="G88" s="128"/>
      <c r="H88" s="36"/>
    </row>
    <row r="89" spans="2:8" x14ac:dyDescent="0.35">
      <c r="B89" s="33" t="s">
        <v>466</v>
      </c>
      <c r="C89" s="33" t="str">
        <f t="shared" si="4"/>
        <v>K4TW</v>
      </c>
      <c r="D89" s="33" t="str">
        <f t="shared" si="5"/>
        <v>M</v>
      </c>
      <c r="E89" s="33" t="s">
        <v>506</v>
      </c>
      <c r="F89" s="33" t="s">
        <v>700</v>
      </c>
      <c r="G89" s="128"/>
      <c r="H89" s="36"/>
    </row>
    <row r="90" spans="2:8" x14ac:dyDescent="0.35">
      <c r="B90" s="47" t="s">
        <v>467</v>
      </c>
      <c r="C90" s="47" t="str">
        <f t="shared" si="4"/>
        <v>K4TW</v>
      </c>
      <c r="D90" s="47" t="str">
        <f t="shared" si="5"/>
        <v>W</v>
      </c>
      <c r="E90" s="47"/>
      <c r="F90" s="47"/>
      <c r="G90" s="130"/>
      <c r="H90" s="48"/>
    </row>
    <row r="91" spans="2:8" x14ac:dyDescent="0.35">
      <c r="B91" s="38" t="s">
        <v>177</v>
      </c>
      <c r="C91" s="38" t="str">
        <f t="shared" si="4"/>
        <v>K5BP</v>
      </c>
      <c r="D91" s="38" t="str">
        <f t="shared" si="5"/>
        <v/>
      </c>
      <c r="E91" s="38"/>
      <c r="F91" s="38" t="s">
        <v>178</v>
      </c>
      <c r="G91" s="131"/>
      <c r="H91" s="57"/>
    </row>
    <row r="92" spans="2:8" x14ac:dyDescent="0.35">
      <c r="B92" s="38" t="s">
        <v>179</v>
      </c>
      <c r="C92" s="38" t="str">
        <f t="shared" si="4"/>
        <v>K5DP</v>
      </c>
      <c r="D92" s="38" t="str">
        <f t="shared" si="5"/>
        <v/>
      </c>
      <c r="E92" s="38"/>
      <c r="F92" s="38" t="s">
        <v>180</v>
      </c>
      <c r="G92" s="131"/>
      <c r="H92" s="57"/>
    </row>
    <row r="93" spans="2:8" x14ac:dyDescent="0.35">
      <c r="B93" s="38" t="s">
        <v>181</v>
      </c>
      <c r="C93" s="38" t="str">
        <f t="shared" si="4"/>
        <v>K5DS</v>
      </c>
      <c r="D93" s="38" t="str">
        <f t="shared" si="5"/>
        <v/>
      </c>
      <c r="E93" s="38"/>
      <c r="F93" s="38" t="s">
        <v>182</v>
      </c>
      <c r="G93" s="131"/>
      <c r="H93" s="57"/>
    </row>
    <row r="94" spans="2:8" x14ac:dyDescent="0.35">
      <c r="B94" s="38" t="s">
        <v>183</v>
      </c>
      <c r="C94" s="38" t="str">
        <f t="shared" si="4"/>
        <v>K5PD</v>
      </c>
      <c r="D94" s="38" t="str">
        <f t="shared" si="5"/>
        <v/>
      </c>
      <c r="E94" s="38"/>
      <c r="F94" s="38" t="s">
        <v>705</v>
      </c>
      <c r="G94" s="131"/>
      <c r="H94" s="57"/>
    </row>
    <row r="95" spans="2:8" x14ac:dyDescent="0.35">
      <c r="B95" s="38" t="s">
        <v>185</v>
      </c>
      <c r="C95" s="38" t="str">
        <f t="shared" si="4"/>
        <v>K5PK</v>
      </c>
      <c r="D95" s="38" t="str">
        <f t="shared" si="5"/>
        <v/>
      </c>
      <c r="E95" s="38"/>
      <c r="F95" s="38" t="s">
        <v>706</v>
      </c>
      <c r="G95" s="131"/>
      <c r="H95" s="57"/>
    </row>
    <row r="96" spans="2:8" x14ac:dyDescent="0.35">
      <c r="B96" s="38" t="s">
        <v>186</v>
      </c>
      <c r="C96" s="38" t="str">
        <f t="shared" si="4"/>
        <v>K5PP</v>
      </c>
      <c r="D96" s="38" t="str">
        <f t="shared" si="5"/>
        <v/>
      </c>
      <c r="E96" s="38"/>
      <c r="F96" s="38" t="s">
        <v>184</v>
      </c>
      <c r="G96" s="131"/>
      <c r="H96" s="57"/>
    </row>
    <row r="97" spans="2:11" x14ac:dyDescent="0.35">
      <c r="B97" s="23" t="s">
        <v>188</v>
      </c>
      <c r="C97" s="22" t="str">
        <f t="shared" si="4"/>
        <v>K5PR</v>
      </c>
      <c r="D97" s="22" t="str">
        <f t="shared" si="5"/>
        <v/>
      </c>
      <c r="E97" s="22"/>
      <c r="F97" s="23" t="s">
        <v>184</v>
      </c>
      <c r="G97" s="32"/>
      <c r="H97" s="1"/>
    </row>
    <row r="98" spans="2:11" x14ac:dyDescent="0.35">
      <c r="B98" s="33" t="s">
        <v>189</v>
      </c>
      <c r="C98" s="33" t="str">
        <f t="shared" si="4"/>
        <v>K5RV</v>
      </c>
      <c r="D98" s="33" t="str">
        <f t="shared" si="5"/>
        <v/>
      </c>
      <c r="E98" s="33"/>
      <c r="F98" s="33" t="s">
        <v>190</v>
      </c>
      <c r="G98" s="128"/>
      <c r="H98" s="36"/>
    </row>
    <row r="99" spans="2:11" x14ac:dyDescent="0.35">
      <c r="B99" s="33" t="s">
        <v>191</v>
      </c>
      <c r="C99" s="33" t="str">
        <f t="shared" si="4"/>
        <v>K5SG</v>
      </c>
      <c r="D99" s="33" t="str">
        <f t="shared" si="5"/>
        <v/>
      </c>
      <c r="E99" s="33"/>
      <c r="F99" s="33" t="s">
        <v>192</v>
      </c>
      <c r="G99" s="128"/>
      <c r="H99" s="36"/>
    </row>
    <row r="100" spans="2:11" x14ac:dyDescent="0.35">
      <c r="B100" s="33" t="s">
        <v>193</v>
      </c>
      <c r="C100" s="33" t="str">
        <f t="shared" si="4"/>
        <v>K5SK</v>
      </c>
      <c r="D100" s="33" t="str">
        <f t="shared" si="5"/>
        <v/>
      </c>
      <c r="E100" s="33"/>
      <c r="F100" s="33" t="s">
        <v>194</v>
      </c>
      <c r="G100" s="128"/>
      <c r="H100" s="36"/>
      <c r="K100" t="s">
        <v>745</v>
      </c>
    </row>
    <row r="101" spans="2:11" x14ac:dyDescent="0.35">
      <c r="B101" s="33" t="s">
        <v>195</v>
      </c>
      <c r="C101" s="33" t="str">
        <f t="shared" si="4"/>
        <v>K5SP</v>
      </c>
      <c r="D101" s="33" t="str">
        <f t="shared" si="5"/>
        <v/>
      </c>
      <c r="E101" s="33"/>
      <c r="F101" s="33" t="s">
        <v>196</v>
      </c>
      <c r="G101" s="128"/>
      <c r="H101" s="36"/>
    </row>
    <row r="102" spans="2:11" x14ac:dyDescent="0.35">
      <c r="B102" s="33" t="s">
        <v>197</v>
      </c>
      <c r="C102" s="33" t="str">
        <f t="shared" si="4"/>
        <v>K5TP</v>
      </c>
      <c r="D102" s="33" t="str">
        <f t="shared" si="5"/>
        <v/>
      </c>
      <c r="E102" s="33"/>
      <c r="F102" s="33" t="s">
        <v>198</v>
      </c>
      <c r="G102" s="128"/>
      <c r="H102" s="36"/>
      <c r="I102" t="s">
        <v>753</v>
      </c>
    </row>
    <row r="103" spans="2:11" x14ac:dyDescent="0.35">
      <c r="B103" s="33" t="s">
        <v>199</v>
      </c>
      <c r="C103" s="33" t="str">
        <f t="shared" si="4"/>
        <v>K5TR</v>
      </c>
      <c r="D103" s="33" t="str">
        <f t="shared" si="5"/>
        <v/>
      </c>
      <c r="E103" s="33"/>
      <c r="F103" s="33" t="s">
        <v>717</v>
      </c>
      <c r="G103" s="128"/>
      <c r="H103" s="36"/>
    </row>
    <row r="104" spans="2:11" x14ac:dyDescent="0.35">
      <c r="B104" s="41" t="s">
        <v>200</v>
      </c>
      <c r="C104" s="41" t="str">
        <f t="shared" si="4"/>
        <v>K6BS</v>
      </c>
      <c r="D104" s="41" t="str">
        <f t="shared" si="5"/>
        <v/>
      </c>
      <c r="E104" s="41"/>
      <c r="F104" s="41" t="s">
        <v>201</v>
      </c>
      <c r="G104" s="129"/>
      <c r="H104" s="42"/>
    </row>
    <row r="105" spans="2:11" x14ac:dyDescent="0.35">
      <c r="B105" s="41" t="s">
        <v>202</v>
      </c>
      <c r="C105" s="41" t="str">
        <f t="shared" si="4"/>
        <v>K6HB</v>
      </c>
      <c r="D105" s="41" t="str">
        <f t="shared" si="5"/>
        <v>M</v>
      </c>
      <c r="E105" s="41"/>
      <c r="F105" s="41" t="s">
        <v>203</v>
      </c>
      <c r="G105" s="129"/>
      <c r="H105" s="42"/>
    </row>
    <row r="106" spans="2:11" x14ac:dyDescent="0.35">
      <c r="B106" s="33" t="s">
        <v>204</v>
      </c>
      <c r="C106" s="33" t="str">
        <f t="shared" si="4"/>
        <v>K6PW</v>
      </c>
      <c r="D106" s="33" t="str">
        <f t="shared" si="5"/>
        <v/>
      </c>
      <c r="E106" s="33"/>
      <c r="F106" s="33" t="s">
        <v>205</v>
      </c>
      <c r="G106" s="128"/>
      <c r="H106" s="36"/>
    </row>
    <row r="107" spans="2:11" x14ac:dyDescent="0.35">
      <c r="B107" s="33" t="s">
        <v>206</v>
      </c>
      <c r="C107" s="33" t="str">
        <f t="shared" si="4"/>
        <v>K7CP</v>
      </c>
      <c r="D107" s="33" t="str">
        <f t="shared" si="5"/>
        <v/>
      </c>
      <c r="E107" s="33"/>
      <c r="F107" s="33" t="s">
        <v>207</v>
      </c>
      <c r="G107" s="128"/>
      <c r="H107" s="36"/>
    </row>
    <row r="108" spans="2:11" x14ac:dyDescent="0.35">
      <c r="B108" s="33" t="s">
        <v>208</v>
      </c>
      <c r="C108" s="33" t="str">
        <f t="shared" si="4"/>
        <v>K7CR</v>
      </c>
      <c r="D108" s="33" t="str">
        <f t="shared" si="5"/>
        <v/>
      </c>
      <c r="E108" s="33"/>
      <c r="F108" s="33" t="s">
        <v>209</v>
      </c>
      <c r="G108" s="128"/>
      <c r="H108" s="36"/>
    </row>
    <row r="109" spans="2:11" x14ac:dyDescent="0.35">
      <c r="B109" s="33" t="s">
        <v>210</v>
      </c>
      <c r="C109" s="33" t="str">
        <f t="shared" si="4"/>
        <v>K7NK</v>
      </c>
      <c r="D109" s="33" t="str">
        <f t="shared" si="5"/>
        <v/>
      </c>
      <c r="E109" s="33"/>
      <c r="F109" s="33" t="s">
        <v>211</v>
      </c>
      <c r="G109" s="128"/>
      <c r="H109" s="36"/>
    </row>
    <row r="110" spans="2:11" x14ac:dyDescent="0.35">
      <c r="B110" s="33" t="s">
        <v>212</v>
      </c>
      <c r="C110" s="33" t="str">
        <f t="shared" si="4"/>
        <v>K8UB</v>
      </c>
      <c r="D110" s="33" t="str">
        <f t="shared" si="5"/>
        <v/>
      </c>
      <c r="E110" s="33"/>
      <c r="F110" s="33" t="s">
        <v>213</v>
      </c>
      <c r="G110" s="128"/>
      <c r="H110" s="36"/>
    </row>
    <row r="111" spans="2:11" x14ac:dyDescent="0.35">
      <c r="B111" s="33" t="s">
        <v>468</v>
      </c>
      <c r="C111" s="33" t="str">
        <f t="shared" si="4"/>
        <v>K8UB</v>
      </c>
      <c r="D111" s="33" t="str">
        <f t="shared" si="5"/>
        <v>S</v>
      </c>
      <c r="E111" s="33" t="s">
        <v>798</v>
      </c>
      <c r="F111" s="33" t="s">
        <v>213</v>
      </c>
      <c r="G111" s="128"/>
      <c r="H111" s="36"/>
    </row>
    <row r="112" spans="2:11" x14ac:dyDescent="0.35">
      <c r="B112" s="33" t="s">
        <v>214</v>
      </c>
      <c r="C112" s="33" t="str">
        <f t="shared" si="4"/>
        <v>K9ES</v>
      </c>
      <c r="D112" s="33" t="str">
        <f t="shared" si="5"/>
        <v/>
      </c>
      <c r="E112" s="33"/>
      <c r="F112" s="33" t="s">
        <v>215</v>
      </c>
      <c r="G112" s="128"/>
      <c r="H112" s="36"/>
    </row>
    <row r="113" spans="2:9" x14ac:dyDescent="0.35">
      <c r="B113" s="33" t="s">
        <v>216</v>
      </c>
      <c r="C113" s="33" t="str">
        <f t="shared" si="4"/>
        <v>K9HH</v>
      </c>
      <c r="D113" s="33" t="str">
        <f t="shared" si="5"/>
        <v/>
      </c>
      <c r="E113" s="33"/>
      <c r="F113" s="33" t="s">
        <v>217</v>
      </c>
      <c r="G113" s="128"/>
      <c r="H113" s="36"/>
    </row>
    <row r="114" spans="2:9" x14ac:dyDescent="0.35">
      <c r="B114" s="41" t="s">
        <v>218</v>
      </c>
      <c r="C114" s="41" t="str">
        <f t="shared" si="4"/>
        <v>K9HS</v>
      </c>
      <c r="D114" s="41" t="str">
        <f t="shared" si="5"/>
        <v/>
      </c>
      <c r="E114" s="41"/>
      <c r="F114" s="41" t="s">
        <v>219</v>
      </c>
      <c r="G114" s="129"/>
      <c r="H114" s="42"/>
      <c r="I114" t="s">
        <v>802</v>
      </c>
    </row>
    <row r="115" spans="2:9" x14ac:dyDescent="0.35">
      <c r="B115" s="33" t="s">
        <v>220</v>
      </c>
      <c r="C115" s="33" t="str">
        <f t="shared" si="4"/>
        <v>K9RS</v>
      </c>
      <c r="D115" s="33" t="str">
        <f t="shared" si="5"/>
        <v/>
      </c>
      <c r="E115" s="33"/>
      <c r="F115" s="33" t="s">
        <v>221</v>
      </c>
      <c r="G115" s="128"/>
      <c r="H115" s="36"/>
    </row>
    <row r="116" spans="2:9" x14ac:dyDescent="0.35">
      <c r="B116" s="33" t="s">
        <v>222</v>
      </c>
      <c r="C116" s="33" t="str">
        <f t="shared" si="4"/>
        <v>K9SH</v>
      </c>
      <c r="D116" s="33" t="str">
        <f t="shared" si="5"/>
        <v/>
      </c>
      <c r="E116" s="33"/>
      <c r="F116" s="33" t="s">
        <v>217</v>
      </c>
      <c r="G116" s="128"/>
      <c r="H116" s="36"/>
    </row>
    <row r="117" spans="2:9" x14ac:dyDescent="0.35">
      <c r="B117" s="23" t="s">
        <v>223</v>
      </c>
      <c r="C117" s="22" t="str">
        <f t="shared" si="4"/>
        <v>L0</v>
      </c>
      <c r="D117" s="22" t="str">
        <f t="shared" si="5"/>
        <v/>
      </c>
      <c r="E117" s="22"/>
      <c r="F117" s="23" t="s">
        <v>224</v>
      </c>
      <c r="G117" s="1"/>
      <c r="H117" s="13"/>
    </row>
    <row r="118" spans="2:9" x14ac:dyDescent="0.35">
      <c r="B118" s="23" t="s">
        <v>225</v>
      </c>
      <c r="C118" s="22" t="str">
        <f t="shared" si="4"/>
        <v>L1</v>
      </c>
      <c r="D118" s="22" t="str">
        <f t="shared" si="5"/>
        <v/>
      </c>
      <c r="E118" s="22"/>
      <c r="F118" s="23" t="s">
        <v>226</v>
      </c>
      <c r="G118" s="1"/>
      <c r="H118" s="13"/>
    </row>
    <row r="119" spans="2:9" x14ac:dyDescent="0.35">
      <c r="B119" s="23" t="s">
        <v>227</v>
      </c>
      <c r="C119" s="22" t="str">
        <f t="shared" si="4"/>
        <v>L2</v>
      </c>
      <c r="D119" s="22" t="str">
        <f t="shared" si="5"/>
        <v/>
      </c>
      <c r="E119" s="22"/>
      <c r="F119" s="23" t="s">
        <v>228</v>
      </c>
      <c r="G119" s="1"/>
      <c r="H119" s="13"/>
    </row>
    <row r="120" spans="2:9" x14ac:dyDescent="0.35">
      <c r="B120" s="23" t="s">
        <v>227</v>
      </c>
      <c r="C120" s="22" t="str">
        <f t="shared" si="4"/>
        <v>L2</v>
      </c>
      <c r="D120" s="22" t="str">
        <f t="shared" si="5"/>
        <v/>
      </c>
      <c r="E120" s="22"/>
      <c r="F120" s="23" t="s">
        <v>229</v>
      </c>
      <c r="G120" s="1"/>
      <c r="H120" s="13"/>
    </row>
    <row r="121" spans="2:9" x14ac:dyDescent="0.35">
      <c r="B121" s="23" t="s">
        <v>227</v>
      </c>
      <c r="C121" s="22" t="str">
        <f t="shared" si="4"/>
        <v>L2</v>
      </c>
      <c r="D121" s="22" t="str">
        <f t="shared" si="5"/>
        <v/>
      </c>
      <c r="E121" s="22"/>
      <c r="F121" s="23" t="s">
        <v>230</v>
      </c>
      <c r="G121" s="1"/>
      <c r="H121" s="13"/>
    </row>
    <row r="122" spans="2:9" x14ac:dyDescent="0.35">
      <c r="B122" s="23" t="s">
        <v>231</v>
      </c>
      <c r="C122" s="22" t="str">
        <f t="shared" si="4"/>
        <v>L3CT</v>
      </c>
      <c r="D122" s="22" t="str">
        <f t="shared" si="5"/>
        <v/>
      </c>
      <c r="E122" s="22"/>
      <c r="F122" s="23" t="s">
        <v>232</v>
      </c>
      <c r="G122" s="1"/>
      <c r="H122" s="13"/>
    </row>
    <row r="123" spans="2:9" x14ac:dyDescent="0.35">
      <c r="B123" s="23" t="s">
        <v>233</v>
      </c>
      <c r="C123" s="22" t="str">
        <f t="shared" si="4"/>
        <v>L3PO</v>
      </c>
      <c r="D123" s="22" t="str">
        <f t="shared" si="5"/>
        <v/>
      </c>
      <c r="E123" s="22"/>
      <c r="F123" s="23" t="s">
        <v>234</v>
      </c>
      <c r="G123" s="1"/>
      <c r="H123" s="13"/>
    </row>
    <row r="124" spans="2:9" x14ac:dyDescent="0.35">
      <c r="B124" s="23" t="s">
        <v>235</v>
      </c>
      <c r="C124" s="22" t="str">
        <f t="shared" si="4"/>
        <v>L3SC</v>
      </c>
      <c r="D124" s="22" t="str">
        <f t="shared" si="5"/>
        <v/>
      </c>
      <c r="E124" s="22"/>
      <c r="F124" s="23" t="s">
        <v>236</v>
      </c>
      <c r="G124" s="1"/>
      <c r="H124" s="13"/>
    </row>
    <row r="125" spans="2:9" x14ac:dyDescent="0.35">
      <c r="B125" s="23" t="s">
        <v>237</v>
      </c>
      <c r="C125" s="22" t="str">
        <f t="shared" si="4"/>
        <v>L3SP</v>
      </c>
      <c r="D125" s="22" t="str">
        <f t="shared" si="5"/>
        <v/>
      </c>
      <c r="E125" s="22"/>
      <c r="F125" s="23" t="s">
        <v>238</v>
      </c>
      <c r="G125" s="1"/>
      <c r="H125" s="13"/>
    </row>
    <row r="126" spans="2:9" x14ac:dyDescent="0.35">
      <c r="B126" s="23" t="s">
        <v>469</v>
      </c>
      <c r="C126" s="22" t="str">
        <f t="shared" si="4"/>
        <v>L3SP</v>
      </c>
      <c r="D126" s="22" t="str">
        <f t="shared" si="5"/>
        <v>S</v>
      </c>
      <c r="E126" s="22"/>
      <c r="F126" s="23" t="s">
        <v>238</v>
      </c>
      <c r="G126" s="1"/>
      <c r="H126" s="13"/>
    </row>
    <row r="127" spans="2:9" x14ac:dyDescent="0.35">
      <c r="B127" s="23" t="s">
        <v>239</v>
      </c>
      <c r="C127" s="22" t="str">
        <f t="shared" si="4"/>
        <v>L3UE</v>
      </c>
      <c r="D127" s="22" t="str">
        <f t="shared" si="5"/>
        <v/>
      </c>
      <c r="E127" s="22"/>
      <c r="F127" s="23" t="s">
        <v>240</v>
      </c>
      <c r="G127" s="1"/>
      <c r="H127" s="13"/>
    </row>
    <row r="128" spans="2:9" x14ac:dyDescent="0.35">
      <c r="B128" s="23" t="s">
        <v>471</v>
      </c>
      <c r="C128" s="22" t="str">
        <f t="shared" si="4"/>
        <v>L3UE</v>
      </c>
      <c r="D128" s="22" t="str">
        <f t="shared" si="5"/>
        <v>M</v>
      </c>
      <c r="E128" s="22"/>
      <c r="F128" s="23" t="s">
        <v>240</v>
      </c>
      <c r="G128" s="1"/>
      <c r="H128" s="13"/>
    </row>
    <row r="129" spans="2:8" x14ac:dyDescent="0.35">
      <c r="B129" s="23" t="s">
        <v>241</v>
      </c>
      <c r="C129" s="22" t="str">
        <f t="shared" si="4"/>
        <v>L3UN</v>
      </c>
      <c r="D129" s="22" t="str">
        <f t="shared" si="5"/>
        <v/>
      </c>
      <c r="E129" s="22"/>
      <c r="F129" s="23" t="s">
        <v>240</v>
      </c>
      <c r="G129" s="1"/>
      <c r="H129" s="13"/>
    </row>
    <row r="130" spans="2:8" x14ac:dyDescent="0.35">
      <c r="B130" s="23" t="s">
        <v>472</v>
      </c>
      <c r="C130" s="22" t="str">
        <f t="shared" si="4"/>
        <v>L3UN</v>
      </c>
      <c r="D130" s="22" t="str">
        <f t="shared" si="5"/>
        <v>M</v>
      </c>
      <c r="E130" s="22"/>
      <c r="F130" s="23" t="s">
        <v>240</v>
      </c>
      <c r="G130" s="1"/>
      <c r="H130" s="13"/>
    </row>
    <row r="131" spans="2:8" x14ac:dyDescent="0.35">
      <c r="B131" s="23" t="s">
        <v>242</v>
      </c>
      <c r="C131" s="22" t="str">
        <f t="shared" si="4"/>
        <v>L3UO</v>
      </c>
      <c r="D131" s="22" t="str">
        <f t="shared" si="5"/>
        <v/>
      </c>
      <c r="E131" s="22"/>
      <c r="F131" s="23" t="s">
        <v>243</v>
      </c>
      <c r="G131" s="1"/>
      <c r="H131" s="13"/>
    </row>
    <row r="132" spans="2:8" x14ac:dyDescent="0.35">
      <c r="B132" s="23" t="s">
        <v>244</v>
      </c>
      <c r="C132" s="22" t="str">
        <f t="shared" si="4"/>
        <v>L3UT</v>
      </c>
      <c r="D132" s="22" t="str">
        <f t="shared" si="5"/>
        <v/>
      </c>
      <c r="E132" s="22"/>
      <c r="F132" s="23" t="s">
        <v>240</v>
      </c>
      <c r="G132" s="1"/>
      <c r="H132" s="13"/>
    </row>
    <row r="133" spans="2:8" x14ac:dyDescent="0.35">
      <c r="B133" s="23" t="s">
        <v>473</v>
      </c>
      <c r="C133" s="22" t="str">
        <f t="shared" si="4"/>
        <v>L3UT</v>
      </c>
      <c r="D133" s="22" t="str">
        <f t="shared" si="5"/>
        <v>M</v>
      </c>
      <c r="E133" s="22"/>
      <c r="F133" s="23" t="s">
        <v>240</v>
      </c>
      <c r="G133" s="1"/>
      <c r="H133" s="13"/>
    </row>
    <row r="134" spans="2:8" x14ac:dyDescent="0.35">
      <c r="B134" s="23" t="s">
        <v>245</v>
      </c>
      <c r="C134" s="22" t="str">
        <f t="shared" si="4"/>
        <v>L3WP</v>
      </c>
      <c r="D134" s="22" t="str">
        <f t="shared" si="5"/>
        <v/>
      </c>
      <c r="E134" s="22"/>
      <c r="F134" s="23" t="s">
        <v>246</v>
      </c>
      <c r="G134" s="1"/>
      <c r="H134" s="13"/>
    </row>
    <row r="135" spans="2:8" x14ac:dyDescent="0.35">
      <c r="B135" s="23" t="s">
        <v>247</v>
      </c>
      <c r="C135" s="22" t="str">
        <f t="shared" si="4"/>
        <v>L4</v>
      </c>
      <c r="D135" s="22" t="str">
        <f t="shared" si="5"/>
        <v/>
      </c>
      <c r="E135" s="22"/>
      <c r="F135" s="23" t="s">
        <v>248</v>
      </c>
      <c r="G135" s="1"/>
      <c r="H135" s="13"/>
    </row>
    <row r="136" spans="2:8" x14ac:dyDescent="0.35">
      <c r="B136" s="23" t="s">
        <v>249</v>
      </c>
      <c r="C136" s="22" t="str">
        <f t="shared" si="4"/>
        <v>L5BF</v>
      </c>
      <c r="D136" s="22" t="str">
        <f t="shared" si="5"/>
        <v>J</v>
      </c>
      <c r="E136" s="22"/>
      <c r="F136" s="23" t="s">
        <v>250</v>
      </c>
      <c r="G136" s="1"/>
      <c r="H136" s="13"/>
    </row>
    <row r="137" spans="2:8" x14ac:dyDescent="0.35">
      <c r="B137" s="23" t="s">
        <v>251</v>
      </c>
      <c r="C137" s="22" t="str">
        <f t="shared" si="4"/>
        <v>L5BF</v>
      </c>
      <c r="D137" s="22" t="str">
        <f t="shared" si="5"/>
        <v>T</v>
      </c>
      <c r="E137" s="22"/>
      <c r="F137" s="23" t="s">
        <v>252</v>
      </c>
      <c r="G137" s="1"/>
      <c r="H137" s="13"/>
    </row>
    <row r="138" spans="2:8" x14ac:dyDescent="0.35">
      <c r="B138" s="23" t="s">
        <v>253</v>
      </c>
      <c r="C138" s="22" t="str">
        <f t="shared" si="4"/>
        <v>L5BR</v>
      </c>
      <c r="D138" s="22" t="str">
        <f t="shared" si="5"/>
        <v>J</v>
      </c>
      <c r="E138" s="22"/>
      <c r="F138" s="23" t="s">
        <v>250</v>
      </c>
      <c r="G138" s="1"/>
      <c r="H138" s="13"/>
    </row>
    <row r="139" spans="2:8" x14ac:dyDescent="0.35">
      <c r="B139" s="23" t="s">
        <v>254</v>
      </c>
      <c r="C139" s="22" t="str">
        <f t="shared" ref="C139:C202" si="6">LEFT(B139,4)</f>
        <v>L5FH</v>
      </c>
      <c r="D139" s="22" t="str">
        <f t="shared" ref="D139:D202" si="7">MID(B139,5,2)</f>
        <v/>
      </c>
      <c r="E139" s="22"/>
      <c r="F139" s="23" t="s">
        <v>255</v>
      </c>
      <c r="G139" s="1"/>
      <c r="H139" s="13"/>
    </row>
    <row r="140" spans="2:8" x14ac:dyDescent="0.35">
      <c r="B140" s="23" t="s">
        <v>256</v>
      </c>
      <c r="C140" s="22" t="str">
        <f t="shared" si="6"/>
        <v>L5HF</v>
      </c>
      <c r="D140" s="22" t="str">
        <f t="shared" si="7"/>
        <v>J</v>
      </c>
      <c r="E140" s="22"/>
      <c r="F140" s="23" t="s">
        <v>250</v>
      </c>
      <c r="G140" s="1"/>
      <c r="H140" s="13"/>
    </row>
    <row r="141" spans="2:8" x14ac:dyDescent="0.35">
      <c r="B141" s="23" t="s">
        <v>257</v>
      </c>
      <c r="C141" s="22" t="str">
        <f t="shared" si="6"/>
        <v>L5HF</v>
      </c>
      <c r="D141" s="22" t="str">
        <f t="shared" si="7"/>
        <v>T</v>
      </c>
      <c r="E141" s="22"/>
      <c r="F141" s="23" t="s">
        <v>252</v>
      </c>
      <c r="G141" s="1"/>
      <c r="H141" s="13"/>
    </row>
    <row r="142" spans="2:8" x14ac:dyDescent="0.35">
      <c r="B142" s="23" t="s">
        <v>258</v>
      </c>
      <c r="C142" s="22" t="str">
        <f t="shared" si="6"/>
        <v>L5HR</v>
      </c>
      <c r="D142" s="22" t="str">
        <f t="shared" si="7"/>
        <v>J</v>
      </c>
      <c r="E142" s="22"/>
      <c r="F142" s="23" t="s">
        <v>250</v>
      </c>
      <c r="G142" s="1"/>
      <c r="H142" s="13"/>
    </row>
    <row r="143" spans="2:8" x14ac:dyDescent="0.35">
      <c r="B143" s="23" t="s">
        <v>259</v>
      </c>
      <c r="C143" s="22" t="str">
        <f t="shared" si="6"/>
        <v>L5HR</v>
      </c>
      <c r="D143" s="22" t="str">
        <f t="shared" si="7"/>
        <v>T</v>
      </c>
      <c r="E143" s="22"/>
      <c r="F143" s="23" t="s">
        <v>252</v>
      </c>
      <c r="G143" s="1"/>
      <c r="H143" s="13"/>
    </row>
    <row r="144" spans="2:8" x14ac:dyDescent="0.35">
      <c r="B144" s="23" t="s">
        <v>260</v>
      </c>
      <c r="C144" s="22" t="str">
        <f t="shared" si="6"/>
        <v>L5NF</v>
      </c>
      <c r="D144" s="22" t="str">
        <f t="shared" si="7"/>
        <v>J</v>
      </c>
      <c r="E144" s="22"/>
      <c r="F144" s="23" t="s">
        <v>250</v>
      </c>
      <c r="G144" s="1"/>
      <c r="H144" s="13"/>
    </row>
    <row r="145" spans="2:8" x14ac:dyDescent="0.35">
      <c r="B145" s="23" t="s">
        <v>261</v>
      </c>
      <c r="C145" s="22" t="str">
        <f t="shared" si="6"/>
        <v>L5NF</v>
      </c>
      <c r="D145" s="22" t="str">
        <f t="shared" si="7"/>
        <v>T</v>
      </c>
      <c r="E145" s="22"/>
      <c r="F145" s="23" t="s">
        <v>252</v>
      </c>
      <c r="G145" s="1"/>
      <c r="H145" s="13"/>
    </row>
    <row r="146" spans="2:8" x14ac:dyDescent="0.35">
      <c r="B146" s="23" t="s">
        <v>262</v>
      </c>
      <c r="C146" s="22" t="str">
        <f t="shared" si="6"/>
        <v>L5NR</v>
      </c>
      <c r="D146" s="22" t="str">
        <f t="shared" si="7"/>
        <v>J</v>
      </c>
      <c r="E146" s="22"/>
      <c r="F146" s="23" t="s">
        <v>250</v>
      </c>
      <c r="G146" s="1"/>
      <c r="H146" s="13"/>
    </row>
    <row r="147" spans="2:8" x14ac:dyDescent="0.35">
      <c r="B147" s="23" t="s">
        <v>263</v>
      </c>
      <c r="C147" s="22" t="str">
        <f t="shared" si="6"/>
        <v>L5NR</v>
      </c>
      <c r="D147" s="22" t="str">
        <f t="shared" si="7"/>
        <v>T</v>
      </c>
      <c r="E147" s="22"/>
      <c r="F147" s="23" t="s">
        <v>252</v>
      </c>
      <c r="G147" s="1"/>
      <c r="H147" s="13"/>
    </row>
    <row r="148" spans="2:8" x14ac:dyDescent="0.35">
      <c r="B148" s="23" t="s">
        <v>264</v>
      </c>
      <c r="C148" s="22" t="str">
        <f t="shared" si="6"/>
        <v>L5PF</v>
      </c>
      <c r="D148" s="22" t="str">
        <f t="shared" si="7"/>
        <v>J</v>
      </c>
      <c r="E148" s="22"/>
      <c r="F148" s="23" t="s">
        <v>250</v>
      </c>
      <c r="G148" s="1"/>
      <c r="H148" s="13"/>
    </row>
    <row r="149" spans="2:8" x14ac:dyDescent="0.35">
      <c r="B149" s="23" t="s">
        <v>265</v>
      </c>
      <c r="C149" s="22" t="str">
        <f t="shared" si="6"/>
        <v>L5PR</v>
      </c>
      <c r="D149" s="22" t="str">
        <f t="shared" si="7"/>
        <v>J</v>
      </c>
      <c r="E149" s="22"/>
      <c r="F149" s="23" t="s">
        <v>250</v>
      </c>
      <c r="G149" s="1"/>
      <c r="H149" s="13"/>
    </row>
    <row r="150" spans="2:8" x14ac:dyDescent="0.35">
      <c r="B150" s="23" t="s">
        <v>266</v>
      </c>
      <c r="C150" s="22" t="str">
        <f t="shared" si="6"/>
        <v>L5QF</v>
      </c>
      <c r="D150" s="22" t="str">
        <f t="shared" si="7"/>
        <v/>
      </c>
      <c r="E150" s="22"/>
      <c r="F150" s="23" t="s">
        <v>267</v>
      </c>
      <c r="G150" s="1"/>
      <c r="H150" s="13"/>
    </row>
    <row r="151" spans="2:8" x14ac:dyDescent="0.35">
      <c r="B151" s="23" t="s">
        <v>268</v>
      </c>
      <c r="C151" s="22" t="str">
        <f t="shared" si="6"/>
        <v>L5SF</v>
      </c>
      <c r="D151" s="22" t="str">
        <f t="shared" si="7"/>
        <v>T</v>
      </c>
      <c r="E151" s="22"/>
      <c r="F151" s="23" t="s">
        <v>252</v>
      </c>
      <c r="G151" s="1"/>
      <c r="H151" s="13"/>
    </row>
    <row r="152" spans="2:8" x14ac:dyDescent="0.35">
      <c r="B152" s="23" t="s">
        <v>269</v>
      </c>
      <c r="C152" s="22" t="str">
        <f t="shared" si="6"/>
        <v>L5SR</v>
      </c>
      <c r="D152" s="22" t="str">
        <f t="shared" si="7"/>
        <v>J</v>
      </c>
      <c r="E152" s="22"/>
      <c r="F152" s="23" t="s">
        <v>250</v>
      </c>
      <c r="G152" s="1"/>
      <c r="H152" s="13"/>
    </row>
    <row r="153" spans="2:8" x14ac:dyDescent="0.35">
      <c r="B153" s="23" t="s">
        <v>270</v>
      </c>
      <c r="C153" s="22" t="str">
        <f t="shared" si="6"/>
        <v>L5SR</v>
      </c>
      <c r="D153" s="22" t="str">
        <f t="shared" si="7"/>
        <v>T</v>
      </c>
      <c r="E153" s="22"/>
      <c r="F153" s="23" t="s">
        <v>252</v>
      </c>
      <c r="G153" s="1"/>
      <c r="H153" s="13"/>
    </row>
    <row r="154" spans="2:8" x14ac:dyDescent="0.35">
      <c r="B154" s="23" t="s">
        <v>271</v>
      </c>
      <c r="C154" s="22" t="str">
        <f t="shared" si="6"/>
        <v>L6SL</v>
      </c>
      <c r="D154" s="22" t="str">
        <f t="shared" si="7"/>
        <v/>
      </c>
      <c r="E154" s="22"/>
      <c r="F154" s="23" t="s">
        <v>272</v>
      </c>
      <c r="G154" s="1"/>
      <c r="H154" s="13"/>
    </row>
    <row r="155" spans="2:8" x14ac:dyDescent="0.35">
      <c r="B155" s="23" t="s">
        <v>273</v>
      </c>
      <c r="C155" s="22" t="str">
        <f t="shared" si="6"/>
        <v>L6WB</v>
      </c>
      <c r="D155" s="22" t="str">
        <f t="shared" si="7"/>
        <v/>
      </c>
      <c r="E155" s="22"/>
      <c r="F155" s="23" t="s">
        <v>274</v>
      </c>
      <c r="G155" s="1"/>
      <c r="H155" s="13"/>
    </row>
    <row r="156" spans="2:8" x14ac:dyDescent="0.35">
      <c r="B156" s="23" t="s">
        <v>275</v>
      </c>
      <c r="C156" s="22" t="str">
        <f t="shared" si="6"/>
        <v>L6WS</v>
      </c>
      <c r="D156" s="22" t="str">
        <f t="shared" si="7"/>
        <v/>
      </c>
      <c r="E156" s="22"/>
      <c r="F156" s="23" t="s">
        <v>274</v>
      </c>
      <c r="G156" s="1"/>
      <c r="H156" s="13"/>
    </row>
    <row r="157" spans="2:8" x14ac:dyDescent="0.35">
      <c r="B157" s="23" t="s">
        <v>276</v>
      </c>
      <c r="C157" s="22" t="str">
        <f t="shared" si="6"/>
        <v>L6WT</v>
      </c>
      <c r="D157" s="22" t="str">
        <f t="shared" si="7"/>
        <v/>
      </c>
      <c r="E157" s="22"/>
      <c r="F157" s="23" t="s">
        <v>274</v>
      </c>
      <c r="G157" s="1"/>
      <c r="H157" s="13"/>
    </row>
    <row r="158" spans="2:8" x14ac:dyDescent="0.35">
      <c r="B158" s="23" t="s">
        <v>277</v>
      </c>
      <c r="C158" s="22" t="str">
        <f t="shared" si="6"/>
        <v>L6WU</v>
      </c>
      <c r="D158" s="22" t="str">
        <f t="shared" si="7"/>
        <v/>
      </c>
      <c r="E158" s="22"/>
      <c r="F158" s="23" t="s">
        <v>274</v>
      </c>
      <c r="G158" s="1"/>
      <c r="H158" s="13"/>
    </row>
    <row r="159" spans="2:8" x14ac:dyDescent="0.35">
      <c r="B159" s="23" t="s">
        <v>278</v>
      </c>
      <c r="C159" s="22" t="str">
        <f t="shared" si="6"/>
        <v>L8</v>
      </c>
      <c r="D159" s="22" t="str">
        <f t="shared" si="7"/>
        <v/>
      </c>
      <c r="E159" s="22"/>
      <c r="F159" s="23" t="s">
        <v>279</v>
      </c>
      <c r="G159" s="1"/>
      <c r="H159" s="13"/>
    </row>
    <row r="160" spans="2:8" x14ac:dyDescent="0.35">
      <c r="B160" s="23" t="s">
        <v>280</v>
      </c>
      <c r="C160" s="22" t="str">
        <f t="shared" si="6"/>
        <v>M0GV</v>
      </c>
      <c r="D160" s="22" t="str">
        <f t="shared" si="7"/>
        <v/>
      </c>
      <c r="E160" s="22"/>
      <c r="F160" s="23" t="s">
        <v>281</v>
      </c>
      <c r="G160" s="1"/>
      <c r="H160" s="13"/>
    </row>
    <row r="161" spans="2:8" x14ac:dyDescent="0.35">
      <c r="B161" s="23" t="s">
        <v>282</v>
      </c>
      <c r="C161" s="22" t="str">
        <f t="shared" si="6"/>
        <v>M4RV</v>
      </c>
      <c r="D161" s="22" t="str">
        <f t="shared" si="7"/>
        <v/>
      </c>
      <c r="E161" s="22"/>
      <c r="F161" s="23" t="s">
        <v>283</v>
      </c>
      <c r="G161" s="1"/>
      <c r="H161" s="13"/>
    </row>
    <row r="162" spans="2:8" x14ac:dyDescent="0.35">
      <c r="B162" s="23" t="s">
        <v>284</v>
      </c>
      <c r="C162" s="22" t="str">
        <f t="shared" si="6"/>
        <v>M7AB</v>
      </c>
      <c r="D162" s="22" t="str">
        <f t="shared" si="7"/>
        <v/>
      </c>
      <c r="E162" s="22"/>
      <c r="F162" s="23" t="s">
        <v>285</v>
      </c>
      <c r="G162" s="1"/>
      <c r="H162" s="13"/>
    </row>
    <row r="163" spans="2:8" x14ac:dyDescent="0.35">
      <c r="B163" s="23" t="s">
        <v>286</v>
      </c>
      <c r="C163" s="22" t="str">
        <f t="shared" si="6"/>
        <v>M9SN</v>
      </c>
      <c r="D163" s="22" t="str">
        <f t="shared" si="7"/>
        <v/>
      </c>
      <c r="E163" s="22"/>
      <c r="F163" s="23" t="s">
        <v>287</v>
      </c>
      <c r="G163" s="1"/>
      <c r="H163" s="13"/>
    </row>
    <row r="164" spans="2:8" x14ac:dyDescent="0.35">
      <c r="B164" s="23" t="s">
        <v>288</v>
      </c>
      <c r="C164" s="22" t="str">
        <f t="shared" si="6"/>
        <v>M9SS</v>
      </c>
      <c r="D164" s="22" t="str">
        <f t="shared" si="7"/>
        <v/>
      </c>
      <c r="E164" s="22"/>
      <c r="F164" s="23" t="s">
        <v>289</v>
      </c>
      <c r="G164" s="1"/>
      <c r="H164" s="13"/>
    </row>
    <row r="165" spans="2:8" x14ac:dyDescent="0.35">
      <c r="B165" s="23" t="s">
        <v>290</v>
      </c>
      <c r="C165" s="22" t="str">
        <f t="shared" si="6"/>
        <v>N1CL</v>
      </c>
      <c r="D165" s="22" t="str">
        <f t="shared" si="7"/>
        <v/>
      </c>
      <c r="E165" s="22"/>
      <c r="F165" s="23" t="s">
        <v>291</v>
      </c>
      <c r="G165" s="1"/>
      <c r="H165" s="13"/>
    </row>
    <row r="166" spans="2:8" x14ac:dyDescent="0.35">
      <c r="B166" s="23" t="s">
        <v>292</v>
      </c>
      <c r="C166" s="22" t="str">
        <f t="shared" si="6"/>
        <v>N1CN</v>
      </c>
      <c r="D166" s="22" t="str">
        <f t="shared" si="7"/>
        <v/>
      </c>
      <c r="E166" s="22"/>
      <c r="F166" s="23" t="s">
        <v>293</v>
      </c>
      <c r="G166" s="1"/>
      <c r="H166" s="13"/>
    </row>
    <row r="167" spans="2:8" x14ac:dyDescent="0.35">
      <c r="B167" s="23" t="s">
        <v>294</v>
      </c>
      <c r="C167" s="22" t="str">
        <f t="shared" si="6"/>
        <v>N1CT</v>
      </c>
      <c r="D167" s="22" t="str">
        <f t="shared" si="7"/>
        <v/>
      </c>
      <c r="E167" s="22"/>
      <c r="F167" s="23" t="s">
        <v>295</v>
      </c>
      <c r="G167" s="1"/>
      <c r="H167" s="13"/>
    </row>
    <row r="168" spans="2:8" x14ac:dyDescent="0.35">
      <c r="B168" s="23" t="s">
        <v>294</v>
      </c>
      <c r="C168" s="22" t="str">
        <f t="shared" si="6"/>
        <v>N1CT</v>
      </c>
      <c r="D168" s="22" t="str">
        <f t="shared" si="7"/>
        <v/>
      </c>
      <c r="E168" s="22"/>
      <c r="F168" s="23" t="s">
        <v>296</v>
      </c>
      <c r="G168" s="1"/>
      <c r="H168" s="13"/>
    </row>
    <row r="169" spans="2:8" x14ac:dyDescent="0.35">
      <c r="B169" s="23" t="s">
        <v>297</v>
      </c>
      <c r="C169" s="22" t="str">
        <f t="shared" si="6"/>
        <v>N1ET</v>
      </c>
      <c r="D169" s="22" t="str">
        <f t="shared" si="7"/>
        <v/>
      </c>
      <c r="E169" s="22"/>
      <c r="F169" s="23" t="s">
        <v>298</v>
      </c>
      <c r="G169" s="1"/>
      <c r="H169" s="13"/>
    </row>
    <row r="170" spans="2:8" x14ac:dyDescent="0.35">
      <c r="B170" s="23" t="s">
        <v>299</v>
      </c>
      <c r="C170" s="22" t="str">
        <f t="shared" si="6"/>
        <v>N1TB</v>
      </c>
      <c r="D170" s="22" t="str">
        <f t="shared" si="7"/>
        <v/>
      </c>
      <c r="E170" s="22"/>
      <c r="F170" s="23" t="s">
        <v>300</v>
      </c>
      <c r="G170" s="1"/>
      <c r="H170" s="13"/>
    </row>
    <row r="171" spans="2:8" x14ac:dyDescent="0.35">
      <c r="B171" s="23" t="s">
        <v>301</v>
      </c>
      <c r="C171" s="22" t="str">
        <f t="shared" si="6"/>
        <v>N2IB</v>
      </c>
      <c r="D171" s="22" t="str">
        <f t="shared" si="7"/>
        <v/>
      </c>
      <c r="E171" s="22"/>
      <c r="F171" s="23" t="s">
        <v>302</v>
      </c>
      <c r="G171" s="1"/>
      <c r="H171" s="13"/>
    </row>
    <row r="172" spans="2:8" x14ac:dyDescent="0.35">
      <c r="B172" s="23" t="s">
        <v>303</v>
      </c>
      <c r="C172" s="22" t="str">
        <f t="shared" si="6"/>
        <v>N2SD</v>
      </c>
      <c r="D172" s="22" t="str">
        <f t="shared" si="7"/>
        <v/>
      </c>
      <c r="E172" s="22"/>
      <c r="F172" s="23" t="s">
        <v>304</v>
      </c>
      <c r="G172" s="1"/>
      <c r="H172" s="13"/>
    </row>
    <row r="173" spans="2:8" x14ac:dyDescent="0.35">
      <c r="B173" s="23" t="s">
        <v>305</v>
      </c>
      <c r="C173" s="22" t="str">
        <f t="shared" si="6"/>
        <v>N5RC</v>
      </c>
      <c r="D173" s="22" t="str">
        <f t="shared" si="7"/>
        <v/>
      </c>
      <c r="E173" s="22"/>
      <c r="F173" s="23" t="s">
        <v>306</v>
      </c>
      <c r="G173" s="1"/>
      <c r="H173" s="13"/>
    </row>
    <row r="174" spans="2:8" x14ac:dyDescent="0.35">
      <c r="B174" s="23" t="s">
        <v>307</v>
      </c>
      <c r="C174" s="22" t="str">
        <f t="shared" si="6"/>
        <v>N5VL</v>
      </c>
      <c r="D174" s="22" t="str">
        <f t="shared" si="7"/>
        <v/>
      </c>
      <c r="E174" s="22"/>
      <c r="F174" s="23" t="s">
        <v>308</v>
      </c>
      <c r="G174" s="1"/>
      <c r="H174" s="13"/>
    </row>
    <row r="175" spans="2:8" x14ac:dyDescent="0.35">
      <c r="B175" s="23" t="s">
        <v>309</v>
      </c>
      <c r="C175" s="22" t="str">
        <f t="shared" si="6"/>
        <v>N6BH</v>
      </c>
      <c r="D175" s="22" t="str">
        <f t="shared" si="7"/>
        <v/>
      </c>
      <c r="E175" s="22"/>
      <c r="F175" s="23" t="s">
        <v>310</v>
      </c>
      <c r="G175" s="1"/>
      <c r="H175" s="13"/>
    </row>
    <row r="176" spans="2:8" x14ac:dyDescent="0.35">
      <c r="B176" s="23" t="s">
        <v>311</v>
      </c>
      <c r="C176" s="22" t="str">
        <f t="shared" si="6"/>
        <v>N6SH</v>
      </c>
      <c r="D176" s="22" t="str">
        <f t="shared" si="7"/>
        <v/>
      </c>
      <c r="E176" s="22"/>
      <c r="F176" s="23" t="s">
        <v>312</v>
      </c>
      <c r="G176" s="1"/>
      <c r="H176" s="13"/>
    </row>
    <row r="177" spans="2:8" x14ac:dyDescent="0.35">
      <c r="B177" s="23" t="s">
        <v>313</v>
      </c>
      <c r="C177" s="22" t="str">
        <f t="shared" si="6"/>
        <v>N8GA</v>
      </c>
      <c r="D177" s="22" t="str">
        <f t="shared" si="7"/>
        <v/>
      </c>
      <c r="E177" s="22"/>
      <c r="F177" s="23" t="s">
        <v>314</v>
      </c>
      <c r="G177" s="1"/>
      <c r="H177" s="13"/>
    </row>
    <row r="178" spans="2:8" x14ac:dyDescent="0.35">
      <c r="B178" s="23" t="s">
        <v>315</v>
      </c>
      <c r="C178" s="22" t="str">
        <f t="shared" si="6"/>
        <v>N8PI</v>
      </c>
      <c r="D178" s="22" t="str">
        <f t="shared" si="7"/>
        <v/>
      </c>
      <c r="E178" s="22"/>
      <c r="F178" s="23" t="s">
        <v>316</v>
      </c>
      <c r="G178" s="1"/>
      <c r="H178" s="13"/>
    </row>
    <row r="179" spans="2:8" x14ac:dyDescent="0.35">
      <c r="B179" s="23" t="s">
        <v>317</v>
      </c>
      <c r="C179" s="22" t="str">
        <f t="shared" si="6"/>
        <v>N8RB</v>
      </c>
      <c r="D179" s="22" t="str">
        <f t="shared" si="7"/>
        <v/>
      </c>
      <c r="E179" s="22"/>
      <c r="F179" s="23" t="s">
        <v>318</v>
      </c>
      <c r="G179" s="1"/>
      <c r="H179" s="13"/>
    </row>
    <row r="180" spans="2:8" x14ac:dyDescent="0.35">
      <c r="B180" s="23" t="s">
        <v>319</v>
      </c>
      <c r="C180" s="22" t="str">
        <f t="shared" si="6"/>
        <v>P0PG</v>
      </c>
      <c r="D180" s="22" t="str">
        <f t="shared" si="7"/>
        <v/>
      </c>
      <c r="E180" s="22"/>
      <c r="F180" s="23" t="s">
        <v>320</v>
      </c>
      <c r="G180" s="1"/>
      <c r="H180" s="13"/>
    </row>
    <row r="181" spans="2:8" x14ac:dyDescent="0.35">
      <c r="B181" s="23" t="s">
        <v>321</v>
      </c>
      <c r="C181" s="22" t="str">
        <f t="shared" si="6"/>
        <v>Q0CS</v>
      </c>
      <c r="D181" s="22" t="str">
        <f t="shared" si="7"/>
        <v/>
      </c>
      <c r="E181" s="22"/>
      <c r="F181" s="23" t="s">
        <v>322</v>
      </c>
      <c r="G181" s="1"/>
      <c r="H181" s="13"/>
    </row>
    <row r="182" spans="2:8" x14ac:dyDescent="0.35">
      <c r="B182" s="24" t="s">
        <v>323</v>
      </c>
      <c r="C182" s="22" t="str">
        <f t="shared" si="6"/>
        <v>Q0LS</v>
      </c>
      <c r="D182" s="22" t="str">
        <f t="shared" si="7"/>
        <v/>
      </c>
      <c r="E182" s="22"/>
      <c r="F182" s="24" t="s">
        <v>324</v>
      </c>
      <c r="G182" s="1"/>
      <c r="H182" s="13"/>
    </row>
    <row r="183" spans="2:8" x14ac:dyDescent="0.35">
      <c r="B183" s="25" t="s">
        <v>325</v>
      </c>
      <c r="C183" s="22" t="str">
        <f t="shared" si="6"/>
        <v>Q1BL</v>
      </c>
      <c r="D183" s="22" t="str">
        <f t="shared" si="7"/>
        <v/>
      </c>
      <c r="E183" s="22"/>
      <c r="F183" s="25" t="s">
        <v>326</v>
      </c>
      <c r="G183" s="1"/>
      <c r="H183" s="13"/>
    </row>
    <row r="184" spans="2:8" x14ac:dyDescent="0.35">
      <c r="B184" s="24" t="s">
        <v>327</v>
      </c>
      <c r="C184" s="22" t="str">
        <f t="shared" si="6"/>
        <v>Q1FG</v>
      </c>
      <c r="D184" s="22" t="str">
        <f t="shared" si="7"/>
        <v/>
      </c>
      <c r="E184" s="22"/>
      <c r="F184" s="24" t="s">
        <v>328</v>
      </c>
      <c r="G184" s="1"/>
      <c r="H184" s="13"/>
    </row>
    <row r="185" spans="2:8" x14ac:dyDescent="0.35">
      <c r="B185" s="25" t="s">
        <v>329</v>
      </c>
      <c r="C185" s="22" t="str">
        <f t="shared" si="6"/>
        <v>Q1OR</v>
      </c>
      <c r="D185" s="22" t="str">
        <f t="shared" si="7"/>
        <v/>
      </c>
      <c r="E185" s="22"/>
      <c r="F185" s="25" t="s">
        <v>330</v>
      </c>
      <c r="G185" s="1"/>
      <c r="H185" s="13"/>
    </row>
    <row r="186" spans="2:8" x14ac:dyDescent="0.35">
      <c r="B186" s="24" t="s">
        <v>331</v>
      </c>
      <c r="C186" s="22" t="str">
        <f t="shared" si="6"/>
        <v>Q1OS</v>
      </c>
      <c r="D186" s="22" t="str">
        <f t="shared" si="7"/>
        <v/>
      </c>
      <c r="E186" s="22"/>
      <c r="F186" s="24" t="s">
        <v>332</v>
      </c>
      <c r="G186" s="1"/>
      <c r="H186" s="13"/>
    </row>
    <row r="187" spans="2:8" x14ac:dyDescent="0.35">
      <c r="B187" s="25" t="s">
        <v>333</v>
      </c>
      <c r="C187" s="22" t="str">
        <f t="shared" si="6"/>
        <v>Q1PR</v>
      </c>
      <c r="D187" s="22" t="str">
        <f t="shared" si="7"/>
        <v/>
      </c>
      <c r="E187" s="22"/>
      <c r="F187" s="25" t="s">
        <v>334</v>
      </c>
      <c r="G187" s="1"/>
      <c r="H187" s="13"/>
    </row>
    <row r="188" spans="2:8" x14ac:dyDescent="0.35">
      <c r="B188" s="24" t="s">
        <v>335</v>
      </c>
      <c r="C188" s="22" t="str">
        <f t="shared" si="6"/>
        <v>Q1SG</v>
      </c>
      <c r="D188" s="22" t="str">
        <f t="shared" si="7"/>
        <v/>
      </c>
      <c r="E188" s="22"/>
      <c r="F188" s="24" t="s">
        <v>336</v>
      </c>
      <c r="G188" s="1"/>
      <c r="H188" s="13"/>
    </row>
    <row r="189" spans="2:8" x14ac:dyDescent="0.35">
      <c r="B189" s="25" t="s">
        <v>335</v>
      </c>
      <c r="C189" s="22" t="str">
        <f t="shared" si="6"/>
        <v>Q1SG</v>
      </c>
      <c r="D189" s="22" t="str">
        <f t="shared" si="7"/>
        <v/>
      </c>
      <c r="E189" s="22"/>
      <c r="F189" s="25" t="s">
        <v>337</v>
      </c>
      <c r="G189" s="1"/>
      <c r="H189" s="13"/>
    </row>
    <row r="190" spans="2:8" x14ac:dyDescent="0.35">
      <c r="B190" s="24" t="s">
        <v>335</v>
      </c>
      <c r="C190" s="22" t="str">
        <f t="shared" si="6"/>
        <v>Q1SG</v>
      </c>
      <c r="D190" s="22" t="str">
        <f t="shared" si="7"/>
        <v/>
      </c>
      <c r="E190" s="22"/>
      <c r="F190" s="24" t="s">
        <v>338</v>
      </c>
      <c r="G190" s="1"/>
      <c r="H190" s="13"/>
    </row>
    <row r="191" spans="2:8" x14ac:dyDescent="0.35">
      <c r="B191" s="25" t="s">
        <v>339</v>
      </c>
      <c r="C191" s="22" t="str">
        <f t="shared" si="6"/>
        <v>Q2HD</v>
      </c>
      <c r="D191" s="22" t="str">
        <f t="shared" si="7"/>
        <v/>
      </c>
      <c r="E191" s="22"/>
      <c r="F191" s="25" t="s">
        <v>340</v>
      </c>
      <c r="G191" s="1"/>
      <c r="H191" s="13"/>
    </row>
    <row r="192" spans="2:8" x14ac:dyDescent="0.35">
      <c r="B192" s="24" t="s">
        <v>341</v>
      </c>
      <c r="C192" s="22" t="str">
        <f t="shared" si="6"/>
        <v>Q2HG</v>
      </c>
      <c r="D192" s="22" t="str">
        <f t="shared" si="7"/>
        <v/>
      </c>
      <c r="E192" s="22"/>
      <c r="F192" s="24" t="s">
        <v>342</v>
      </c>
      <c r="G192" s="1"/>
      <c r="H192" s="13"/>
    </row>
    <row r="193" spans="2:8" x14ac:dyDescent="0.35">
      <c r="B193" s="25" t="s">
        <v>343</v>
      </c>
      <c r="C193" s="22" t="str">
        <f t="shared" si="6"/>
        <v>Q2MP</v>
      </c>
      <c r="D193" s="22" t="str">
        <f t="shared" si="7"/>
        <v/>
      </c>
      <c r="E193" s="22"/>
      <c r="F193" s="25" t="s">
        <v>344</v>
      </c>
      <c r="G193" s="1"/>
      <c r="H193" s="13"/>
    </row>
    <row r="194" spans="2:8" x14ac:dyDescent="0.35">
      <c r="B194" s="24" t="s">
        <v>345</v>
      </c>
      <c r="C194" s="22" t="str">
        <f t="shared" si="6"/>
        <v>Q2NP</v>
      </c>
      <c r="D194" s="22" t="str">
        <f t="shared" si="7"/>
        <v/>
      </c>
      <c r="E194" s="22"/>
      <c r="F194" s="24" t="s">
        <v>346</v>
      </c>
      <c r="G194" s="1"/>
      <c r="H194" s="13"/>
    </row>
    <row r="195" spans="2:8" x14ac:dyDescent="0.35">
      <c r="B195" s="25" t="s">
        <v>347</v>
      </c>
      <c r="C195" s="22" t="str">
        <f t="shared" si="6"/>
        <v>Q2OS</v>
      </c>
      <c r="D195" s="22" t="str">
        <f t="shared" si="7"/>
        <v/>
      </c>
      <c r="E195" s="22"/>
      <c r="F195" s="25" t="s">
        <v>348</v>
      </c>
      <c r="G195" s="1"/>
      <c r="H195" s="13"/>
    </row>
    <row r="196" spans="2:8" x14ac:dyDescent="0.35">
      <c r="B196" s="24" t="s">
        <v>349</v>
      </c>
      <c r="C196" s="22" t="str">
        <f t="shared" si="6"/>
        <v>Q3EB</v>
      </c>
      <c r="D196" s="22" t="str">
        <f t="shared" si="7"/>
        <v/>
      </c>
      <c r="E196" s="22"/>
      <c r="F196" s="24" t="s">
        <v>350</v>
      </c>
      <c r="G196" s="1"/>
      <c r="H196" s="13"/>
    </row>
    <row r="197" spans="2:8" x14ac:dyDescent="0.35">
      <c r="B197" s="25" t="s">
        <v>351</v>
      </c>
      <c r="C197" s="22" t="str">
        <f t="shared" si="6"/>
        <v>Q3EN</v>
      </c>
      <c r="D197" s="22" t="str">
        <f t="shared" si="7"/>
        <v/>
      </c>
      <c r="E197" s="22"/>
      <c r="F197" s="25" t="s">
        <v>352</v>
      </c>
      <c r="G197" s="1"/>
      <c r="H197" s="13"/>
    </row>
    <row r="198" spans="2:8" x14ac:dyDescent="0.35">
      <c r="B198" s="24" t="s">
        <v>470</v>
      </c>
      <c r="C198" s="22" t="str">
        <f t="shared" si="6"/>
        <v>Q3LG</v>
      </c>
      <c r="D198" s="22" t="str">
        <f t="shared" si="7"/>
        <v/>
      </c>
      <c r="E198" s="22"/>
      <c r="F198" s="24" t="s">
        <v>353</v>
      </c>
      <c r="G198" s="1"/>
      <c r="H198" s="13"/>
    </row>
    <row r="199" spans="2:8" x14ac:dyDescent="0.35">
      <c r="B199" s="25" t="s">
        <v>354</v>
      </c>
      <c r="C199" s="22" t="str">
        <f t="shared" si="6"/>
        <v>Q3LG</v>
      </c>
      <c r="D199" s="22" t="str">
        <f t="shared" si="7"/>
        <v>D</v>
      </c>
      <c r="E199" s="22"/>
      <c r="F199" s="25" t="s">
        <v>353</v>
      </c>
      <c r="G199" s="1"/>
      <c r="H199" s="13"/>
    </row>
    <row r="200" spans="2:8" x14ac:dyDescent="0.35">
      <c r="B200" s="24" t="s">
        <v>355</v>
      </c>
      <c r="C200" s="22" t="str">
        <f t="shared" si="6"/>
        <v>Q3LG</v>
      </c>
      <c r="D200" s="22" t="str">
        <f t="shared" si="7"/>
        <v>U</v>
      </c>
      <c r="E200" s="22"/>
      <c r="F200" s="24" t="s">
        <v>353</v>
      </c>
      <c r="G200" s="1"/>
      <c r="H200" s="13"/>
    </row>
    <row r="201" spans="2:8" x14ac:dyDescent="0.35">
      <c r="B201" s="25" t="s">
        <v>356</v>
      </c>
      <c r="C201" s="22" t="str">
        <f t="shared" si="6"/>
        <v>Q3SH</v>
      </c>
      <c r="D201" s="22" t="str">
        <f t="shared" si="7"/>
        <v/>
      </c>
      <c r="E201" s="22"/>
      <c r="F201" s="25" t="s">
        <v>357</v>
      </c>
      <c r="G201" s="1"/>
      <c r="H201" s="13"/>
    </row>
    <row r="202" spans="2:8" x14ac:dyDescent="0.35">
      <c r="B202" s="24" t="s">
        <v>358</v>
      </c>
      <c r="C202" s="22" t="str">
        <f t="shared" si="6"/>
        <v>Q3WR</v>
      </c>
      <c r="D202" s="22" t="str">
        <f t="shared" si="7"/>
        <v/>
      </c>
      <c r="E202" s="22"/>
      <c r="F202" s="24" t="s">
        <v>359</v>
      </c>
      <c r="G202" s="1"/>
      <c r="H202" s="13"/>
    </row>
    <row r="203" spans="2:8" x14ac:dyDescent="0.35">
      <c r="B203" s="25" t="s">
        <v>360</v>
      </c>
      <c r="C203" s="22" t="str">
        <f t="shared" ref="C203:C247" si="8">LEFT(B203,4)</f>
        <v>Q4AH</v>
      </c>
      <c r="D203" s="22" t="str">
        <f t="shared" ref="D203:D246" si="9">MID(B203,5,2)</f>
        <v/>
      </c>
      <c r="E203" s="22"/>
      <c r="F203" s="25" t="s">
        <v>361</v>
      </c>
      <c r="G203" s="1"/>
      <c r="H203" s="13"/>
    </row>
    <row r="204" spans="2:8" x14ac:dyDescent="0.35">
      <c r="B204" s="24" t="s">
        <v>362</v>
      </c>
      <c r="C204" s="22" t="str">
        <f t="shared" si="8"/>
        <v>Q4CA</v>
      </c>
      <c r="D204" s="22" t="str">
        <f t="shared" si="9"/>
        <v/>
      </c>
      <c r="E204" s="22"/>
      <c r="F204" s="24" t="s">
        <v>363</v>
      </c>
      <c r="G204" s="1"/>
      <c r="H204" s="13"/>
    </row>
    <row r="205" spans="2:8" x14ac:dyDescent="0.35">
      <c r="B205" s="25" t="s">
        <v>364</v>
      </c>
      <c r="C205" s="22" t="str">
        <f t="shared" si="8"/>
        <v>Q4FL</v>
      </c>
      <c r="D205" s="22" t="str">
        <f t="shared" si="9"/>
        <v/>
      </c>
      <c r="E205" s="22"/>
      <c r="F205" s="25" t="s">
        <v>365</v>
      </c>
      <c r="G205" s="1"/>
      <c r="H205" s="13"/>
    </row>
    <row r="206" spans="2:8" x14ac:dyDescent="0.35">
      <c r="B206" s="24" t="s">
        <v>366</v>
      </c>
      <c r="C206" s="22" t="str">
        <f t="shared" si="8"/>
        <v>Q4GP</v>
      </c>
      <c r="D206" s="22" t="str">
        <f t="shared" si="9"/>
        <v/>
      </c>
      <c r="E206" s="22"/>
      <c r="F206" s="24" t="s">
        <v>367</v>
      </c>
      <c r="G206" s="1"/>
      <c r="H206" s="13"/>
    </row>
    <row r="207" spans="2:8" x14ac:dyDescent="0.35">
      <c r="B207" s="25" t="s">
        <v>368</v>
      </c>
      <c r="C207" s="22" t="str">
        <f t="shared" si="8"/>
        <v>Q5UB</v>
      </c>
      <c r="D207" s="22" t="str">
        <f t="shared" si="9"/>
        <v/>
      </c>
      <c r="E207" s="22"/>
      <c r="F207" s="25" t="s">
        <v>369</v>
      </c>
      <c r="G207" s="1"/>
      <c r="H207" s="13"/>
    </row>
    <row r="208" spans="2:8" x14ac:dyDescent="0.35">
      <c r="B208" s="24" t="s">
        <v>370</v>
      </c>
      <c r="C208" s="22" t="str">
        <f t="shared" si="8"/>
        <v>Q6CN</v>
      </c>
      <c r="D208" s="22" t="str">
        <f t="shared" si="9"/>
        <v/>
      </c>
      <c r="E208" s="22"/>
      <c r="F208" s="24" t="s">
        <v>371</v>
      </c>
      <c r="G208" s="1"/>
      <c r="H208" s="13"/>
    </row>
    <row r="209" spans="2:8" x14ac:dyDescent="0.35">
      <c r="B209" s="25" t="s">
        <v>372</v>
      </c>
      <c r="C209" s="22" t="str">
        <f t="shared" si="8"/>
        <v>Q6LW</v>
      </c>
      <c r="D209" s="22" t="str">
        <f t="shared" si="9"/>
        <v/>
      </c>
      <c r="E209" s="22"/>
      <c r="F209" s="25" t="s">
        <v>373</v>
      </c>
      <c r="G209" s="1"/>
      <c r="H209" s="13"/>
    </row>
    <row r="210" spans="2:8" x14ac:dyDescent="0.35">
      <c r="B210" s="24" t="s">
        <v>374</v>
      </c>
      <c r="C210" s="22" t="str">
        <f t="shared" si="8"/>
        <v>Q6RB</v>
      </c>
      <c r="D210" s="22" t="str">
        <f t="shared" si="9"/>
        <v/>
      </c>
      <c r="E210" s="22"/>
      <c r="F210" s="24" t="s">
        <v>375</v>
      </c>
      <c r="G210" s="1"/>
      <c r="H210" s="13"/>
    </row>
    <row r="211" spans="2:8" x14ac:dyDescent="0.35">
      <c r="B211" s="25" t="s">
        <v>376</v>
      </c>
      <c r="C211" s="22" t="str">
        <f t="shared" si="8"/>
        <v>Q6RN</v>
      </c>
      <c r="D211" s="22" t="str">
        <f t="shared" si="9"/>
        <v/>
      </c>
      <c r="E211" s="22"/>
      <c r="F211" s="25" t="s">
        <v>377</v>
      </c>
      <c r="G211" s="1"/>
      <c r="H211" s="13"/>
    </row>
    <row r="212" spans="2:8" x14ac:dyDescent="0.35">
      <c r="B212" s="24" t="s">
        <v>378</v>
      </c>
      <c r="C212" s="22" t="str">
        <f t="shared" si="8"/>
        <v>Q6RR</v>
      </c>
      <c r="D212" s="22" t="str">
        <f t="shared" si="9"/>
        <v/>
      </c>
      <c r="E212" s="22"/>
      <c r="F212" s="24" t="s">
        <v>379</v>
      </c>
      <c r="G212" s="1"/>
      <c r="H212" s="13"/>
    </row>
    <row r="213" spans="2:8" x14ac:dyDescent="0.35">
      <c r="B213" s="25" t="s">
        <v>380</v>
      </c>
      <c r="C213" s="22" t="str">
        <f t="shared" si="8"/>
        <v>Q6TB</v>
      </c>
      <c r="D213" s="22" t="str">
        <f t="shared" si="9"/>
        <v/>
      </c>
      <c r="E213" s="22"/>
      <c r="F213" s="25" t="s">
        <v>381</v>
      </c>
      <c r="G213" s="1"/>
      <c r="H213" s="13"/>
    </row>
    <row r="214" spans="2:8" x14ac:dyDescent="0.35">
      <c r="B214" s="24" t="s">
        <v>382</v>
      </c>
      <c r="C214" s="22" t="str">
        <f t="shared" si="8"/>
        <v>Q6TR</v>
      </c>
      <c r="D214" s="22" t="str">
        <f t="shared" si="9"/>
        <v/>
      </c>
      <c r="E214" s="22"/>
      <c r="F214" s="24" t="s">
        <v>383</v>
      </c>
      <c r="G214" s="1"/>
      <c r="H214" s="13"/>
    </row>
    <row r="215" spans="2:8" x14ac:dyDescent="0.35">
      <c r="B215" s="25" t="s">
        <v>384</v>
      </c>
      <c r="C215" s="22" t="str">
        <f t="shared" si="8"/>
        <v>Q8FO</v>
      </c>
      <c r="D215" s="22" t="str">
        <f t="shared" si="9"/>
        <v/>
      </c>
      <c r="E215" s="22"/>
      <c r="F215" s="25" t="s">
        <v>385</v>
      </c>
      <c r="G215" s="1"/>
      <c r="H215" s="13"/>
    </row>
    <row r="216" spans="2:8" x14ac:dyDescent="0.35">
      <c r="B216" s="24" t="s">
        <v>386</v>
      </c>
      <c r="C216" s="22" t="str">
        <f t="shared" si="8"/>
        <v>Q8GN</v>
      </c>
      <c r="D216" s="22" t="str">
        <f t="shared" si="9"/>
        <v/>
      </c>
      <c r="E216" s="22"/>
      <c r="F216" s="24" t="s">
        <v>387</v>
      </c>
      <c r="G216" s="1"/>
      <c r="H216" s="13"/>
    </row>
    <row r="217" spans="2:8" x14ac:dyDescent="0.35">
      <c r="B217" s="25" t="s">
        <v>388</v>
      </c>
      <c r="C217" s="22" t="str">
        <f t="shared" si="8"/>
        <v>Q8OD</v>
      </c>
      <c r="D217" s="22" t="str">
        <f t="shared" si="9"/>
        <v/>
      </c>
      <c r="E217" s="22"/>
      <c r="F217" s="25" t="s">
        <v>389</v>
      </c>
      <c r="G217" s="1"/>
      <c r="H217" s="13"/>
    </row>
    <row r="218" spans="2:8" x14ac:dyDescent="0.35">
      <c r="B218" s="24" t="s">
        <v>390</v>
      </c>
      <c r="C218" s="22" t="str">
        <f t="shared" si="8"/>
        <v>Q8OS</v>
      </c>
      <c r="D218" s="22" t="str">
        <f t="shared" si="9"/>
        <v/>
      </c>
      <c r="E218" s="22"/>
      <c r="F218" s="24" t="s">
        <v>391</v>
      </c>
      <c r="G218" s="1"/>
      <c r="H218" s="13"/>
    </row>
    <row r="219" spans="2:8" x14ac:dyDescent="0.35">
      <c r="B219" s="25" t="s">
        <v>392</v>
      </c>
      <c r="C219" s="22" t="str">
        <f t="shared" si="8"/>
        <v>Q8SF</v>
      </c>
      <c r="D219" s="22" t="str">
        <f t="shared" si="9"/>
        <v/>
      </c>
      <c r="E219" s="22"/>
      <c r="F219" s="25" t="s">
        <v>393</v>
      </c>
      <c r="G219" s="1"/>
      <c r="H219" s="13"/>
    </row>
    <row r="220" spans="2:8" x14ac:dyDescent="0.35">
      <c r="B220" s="24" t="s">
        <v>394</v>
      </c>
      <c r="C220" s="22" t="str">
        <f t="shared" si="8"/>
        <v>Q8SS</v>
      </c>
      <c r="D220" s="22" t="str">
        <f t="shared" si="9"/>
        <v/>
      </c>
      <c r="E220" s="22"/>
      <c r="F220" s="24" t="s">
        <v>393</v>
      </c>
      <c r="G220" s="1"/>
      <c r="H220" s="13"/>
    </row>
    <row r="221" spans="2:8" x14ac:dyDescent="0.35">
      <c r="B221" s="25" t="s">
        <v>395</v>
      </c>
      <c r="C221" s="22" t="str">
        <f t="shared" si="8"/>
        <v>S0BW</v>
      </c>
      <c r="D221" s="22" t="str">
        <f t="shared" si="9"/>
        <v/>
      </c>
      <c r="E221" s="22"/>
      <c r="F221" s="25" t="s">
        <v>396</v>
      </c>
      <c r="G221" s="1"/>
      <c r="H221" s="13"/>
    </row>
    <row r="222" spans="2:8" x14ac:dyDescent="0.35">
      <c r="B222" s="24" t="s">
        <v>397</v>
      </c>
      <c r="C222" s="22" t="str">
        <f t="shared" si="8"/>
        <v>S0BW</v>
      </c>
      <c r="D222" s="22" t="str">
        <f t="shared" si="9"/>
        <v>TG</v>
      </c>
      <c r="E222" s="22"/>
      <c r="F222" s="24" t="s">
        <v>396</v>
      </c>
      <c r="G222" s="1"/>
      <c r="H222" s="13"/>
    </row>
    <row r="223" spans="2:8" x14ac:dyDescent="0.35">
      <c r="B223" s="25" t="s">
        <v>398</v>
      </c>
      <c r="C223" s="22" t="str">
        <f t="shared" si="8"/>
        <v>S2AK</v>
      </c>
      <c r="D223" s="22" t="str">
        <f t="shared" si="9"/>
        <v/>
      </c>
      <c r="E223" s="22"/>
      <c r="F223" s="25" t="s">
        <v>399</v>
      </c>
      <c r="G223" s="1"/>
      <c r="H223" s="13"/>
    </row>
    <row r="224" spans="2:8" x14ac:dyDescent="0.35">
      <c r="B224" s="24" t="s">
        <v>400</v>
      </c>
      <c r="C224" s="22" t="str">
        <f t="shared" si="8"/>
        <v>S2BP</v>
      </c>
      <c r="D224" s="22" t="str">
        <f t="shared" si="9"/>
        <v/>
      </c>
      <c r="E224" s="22"/>
      <c r="F224" s="24" t="s">
        <v>401</v>
      </c>
      <c r="G224" s="1"/>
      <c r="H224" s="13"/>
    </row>
    <row r="225" spans="2:8" x14ac:dyDescent="0.35">
      <c r="B225" s="25" t="s">
        <v>400</v>
      </c>
      <c r="C225" s="22" t="str">
        <f t="shared" si="8"/>
        <v>S2BP</v>
      </c>
      <c r="D225" s="22" t="str">
        <f t="shared" si="9"/>
        <v/>
      </c>
      <c r="E225" s="22"/>
      <c r="F225" s="25" t="s">
        <v>402</v>
      </c>
      <c r="G225" s="1"/>
      <c r="H225" s="13"/>
    </row>
    <row r="226" spans="2:8" x14ac:dyDescent="0.35">
      <c r="B226" s="24" t="s">
        <v>403</v>
      </c>
      <c r="C226" s="22" t="str">
        <f t="shared" si="8"/>
        <v>S2BR</v>
      </c>
      <c r="D226" s="22" t="str">
        <f t="shared" si="9"/>
        <v/>
      </c>
      <c r="E226" s="22"/>
      <c r="F226" s="24" t="s">
        <v>404</v>
      </c>
      <c r="G226" s="1"/>
      <c r="H226" s="13"/>
    </row>
    <row r="227" spans="2:8" x14ac:dyDescent="0.35">
      <c r="B227" s="25" t="s">
        <v>405</v>
      </c>
      <c r="C227" s="22" t="str">
        <f t="shared" si="8"/>
        <v>S2BS</v>
      </c>
      <c r="D227" s="22" t="str">
        <f t="shared" si="9"/>
        <v/>
      </c>
      <c r="E227" s="22"/>
      <c r="F227" s="25" t="s">
        <v>406</v>
      </c>
      <c r="G227" s="1"/>
      <c r="H227" s="13"/>
    </row>
    <row r="228" spans="2:8" x14ac:dyDescent="0.35">
      <c r="B228" s="24" t="s">
        <v>407</v>
      </c>
      <c r="C228" s="22" t="str">
        <f t="shared" si="8"/>
        <v>S2FB</v>
      </c>
      <c r="D228" s="22" t="str">
        <f t="shared" si="9"/>
        <v/>
      </c>
      <c r="E228" s="22"/>
      <c r="F228" s="24" t="s">
        <v>365</v>
      </c>
      <c r="G228" s="1"/>
      <c r="H228" s="13"/>
    </row>
    <row r="229" spans="2:8" x14ac:dyDescent="0.35">
      <c r="B229" s="25" t="s">
        <v>408</v>
      </c>
      <c r="C229" s="22" t="str">
        <f t="shared" si="8"/>
        <v>S2GB</v>
      </c>
      <c r="D229" s="22" t="str">
        <f t="shared" si="9"/>
        <v/>
      </c>
      <c r="E229" s="22"/>
      <c r="F229" s="25" t="s">
        <v>409</v>
      </c>
      <c r="G229" s="1"/>
      <c r="H229" s="13"/>
    </row>
    <row r="230" spans="2:8" x14ac:dyDescent="0.35">
      <c r="B230" s="24" t="s">
        <v>410</v>
      </c>
      <c r="C230" s="22" t="str">
        <f t="shared" si="8"/>
        <v>S2HG</v>
      </c>
      <c r="D230" s="22" t="str">
        <f t="shared" si="9"/>
        <v/>
      </c>
      <c r="E230" s="22"/>
      <c r="F230" s="24" t="s">
        <v>411</v>
      </c>
      <c r="G230" s="1"/>
      <c r="H230" s="13"/>
    </row>
    <row r="231" spans="2:8" x14ac:dyDescent="0.35">
      <c r="B231" s="25" t="s">
        <v>412</v>
      </c>
      <c r="C231" s="22" t="str">
        <f t="shared" si="8"/>
        <v>S2HH</v>
      </c>
      <c r="D231" s="22" t="str">
        <f t="shared" si="9"/>
        <v/>
      </c>
      <c r="E231" s="22"/>
      <c r="F231" s="25" t="s">
        <v>413</v>
      </c>
      <c r="G231" s="1"/>
      <c r="H231" s="13"/>
    </row>
    <row r="232" spans="2:8" x14ac:dyDescent="0.35">
      <c r="B232" s="24" t="s">
        <v>414</v>
      </c>
      <c r="C232" s="22" t="str">
        <f t="shared" si="8"/>
        <v>S2LB</v>
      </c>
      <c r="D232" s="22" t="str">
        <f t="shared" si="9"/>
        <v/>
      </c>
      <c r="E232" s="22"/>
      <c r="F232" s="24" t="s">
        <v>415</v>
      </c>
      <c r="G232" s="1"/>
      <c r="H232" s="13"/>
    </row>
    <row r="233" spans="2:8" x14ac:dyDescent="0.35">
      <c r="B233" s="25" t="s">
        <v>416</v>
      </c>
      <c r="C233" s="22" t="str">
        <f t="shared" si="8"/>
        <v>S2LP</v>
      </c>
      <c r="D233" s="22" t="str">
        <f t="shared" si="9"/>
        <v/>
      </c>
      <c r="E233" s="22"/>
      <c r="F233" s="25" t="s">
        <v>417</v>
      </c>
      <c r="G233" s="1"/>
      <c r="H233" s="13"/>
    </row>
    <row r="234" spans="2:8" x14ac:dyDescent="0.35">
      <c r="B234" s="24" t="s">
        <v>418</v>
      </c>
      <c r="C234" s="22" t="str">
        <f t="shared" si="8"/>
        <v>S2NB</v>
      </c>
      <c r="D234" s="22" t="str">
        <f t="shared" si="9"/>
        <v/>
      </c>
      <c r="E234" s="22"/>
      <c r="F234" s="24" t="s">
        <v>419</v>
      </c>
      <c r="G234" s="1"/>
      <c r="H234" s="13"/>
    </row>
    <row r="235" spans="2:8" x14ac:dyDescent="0.35">
      <c r="B235" s="25" t="s">
        <v>420</v>
      </c>
      <c r="C235" s="22" t="str">
        <f t="shared" si="8"/>
        <v>S2NP</v>
      </c>
      <c r="D235" s="22" t="str">
        <f t="shared" si="9"/>
        <v/>
      </c>
      <c r="E235" s="22"/>
      <c r="F235" s="25" t="s">
        <v>421</v>
      </c>
      <c r="G235" s="1"/>
      <c r="H235" s="13"/>
    </row>
    <row r="236" spans="2:8" x14ac:dyDescent="0.35">
      <c r="B236" s="24" t="s">
        <v>422</v>
      </c>
      <c r="C236" s="22" t="str">
        <f t="shared" si="8"/>
        <v>S2NS</v>
      </c>
      <c r="D236" s="22" t="str">
        <f t="shared" si="9"/>
        <v/>
      </c>
      <c r="E236" s="22"/>
      <c r="F236" s="24" t="s">
        <v>423</v>
      </c>
      <c r="G236" s="1"/>
      <c r="H236" s="13"/>
    </row>
    <row r="237" spans="2:8" x14ac:dyDescent="0.35">
      <c r="B237" s="25" t="s">
        <v>424</v>
      </c>
      <c r="C237" s="22" t="str">
        <f t="shared" si="8"/>
        <v>S2NW</v>
      </c>
      <c r="D237" s="22" t="str">
        <f t="shared" si="9"/>
        <v/>
      </c>
      <c r="E237" s="22"/>
      <c r="F237" s="25" t="s">
        <v>425</v>
      </c>
      <c r="G237" s="1"/>
      <c r="H237" s="13"/>
    </row>
    <row r="238" spans="2:8" x14ac:dyDescent="0.35">
      <c r="B238" s="24" t="s">
        <v>426</v>
      </c>
      <c r="C238" s="22" t="str">
        <f t="shared" si="8"/>
        <v>S2PP</v>
      </c>
      <c r="D238" s="22" t="str">
        <f t="shared" si="9"/>
        <v/>
      </c>
      <c r="E238" s="22"/>
      <c r="F238" s="24" t="s">
        <v>427</v>
      </c>
      <c r="G238" s="1"/>
      <c r="H238" s="13"/>
    </row>
    <row r="239" spans="2:8" x14ac:dyDescent="0.35">
      <c r="B239" s="25" t="s">
        <v>428</v>
      </c>
      <c r="C239" s="22" t="str">
        <f t="shared" si="8"/>
        <v>S2PT</v>
      </c>
      <c r="D239" s="22" t="str">
        <f t="shared" si="9"/>
        <v/>
      </c>
      <c r="E239" s="22"/>
      <c r="F239" s="25" t="s">
        <v>429</v>
      </c>
      <c r="G239" s="1"/>
      <c r="H239" s="13"/>
    </row>
    <row r="240" spans="2:8" x14ac:dyDescent="0.35">
      <c r="B240" s="24" t="s">
        <v>430</v>
      </c>
      <c r="C240" s="22" t="str">
        <f t="shared" si="8"/>
        <v>S2RK</v>
      </c>
      <c r="D240" s="22" t="str">
        <f t="shared" si="9"/>
        <v/>
      </c>
      <c r="E240" s="22"/>
      <c r="F240" s="24" t="s">
        <v>431</v>
      </c>
      <c r="G240" s="1"/>
      <c r="H240" s="13"/>
    </row>
    <row r="241" spans="2:8" x14ac:dyDescent="0.35">
      <c r="B241" s="25" t="s">
        <v>432</v>
      </c>
      <c r="C241" s="22" t="str">
        <f t="shared" si="8"/>
        <v>S2SB</v>
      </c>
      <c r="D241" s="22" t="str">
        <f t="shared" si="9"/>
        <v/>
      </c>
      <c r="E241" s="22"/>
      <c r="F241" s="25" t="s">
        <v>433</v>
      </c>
      <c r="G241" s="1"/>
      <c r="H241" s="13"/>
    </row>
    <row r="242" spans="2:8" x14ac:dyDescent="0.35">
      <c r="B242" s="24" t="s">
        <v>434</v>
      </c>
      <c r="C242" s="22" t="str">
        <f t="shared" si="8"/>
        <v>S2SH</v>
      </c>
      <c r="D242" s="22" t="str">
        <f t="shared" si="9"/>
        <v/>
      </c>
      <c r="E242" s="22"/>
      <c r="F242" s="24" t="s">
        <v>435</v>
      </c>
      <c r="G242" s="1"/>
      <c r="H242" s="13"/>
    </row>
    <row r="243" spans="2:8" x14ac:dyDescent="0.35">
      <c r="B243" s="25" t="s">
        <v>436</v>
      </c>
      <c r="C243" s="22" t="str">
        <f t="shared" si="8"/>
        <v>S2SP</v>
      </c>
      <c r="D243" s="22" t="str">
        <f t="shared" si="9"/>
        <v/>
      </c>
      <c r="E243" s="22"/>
      <c r="F243" s="25" t="s">
        <v>437</v>
      </c>
      <c r="G243" s="1"/>
      <c r="H243" s="13"/>
    </row>
    <row r="244" spans="2:8" x14ac:dyDescent="0.35">
      <c r="B244" s="24" t="s">
        <v>438</v>
      </c>
      <c r="C244" s="22" t="str">
        <f t="shared" si="8"/>
        <v>S2SS</v>
      </c>
      <c r="D244" s="22" t="str">
        <f t="shared" si="9"/>
        <v/>
      </c>
      <c r="E244" s="22"/>
      <c r="F244" s="24" t="s">
        <v>439</v>
      </c>
      <c r="G244" s="1"/>
      <c r="H244" s="13"/>
    </row>
    <row r="245" spans="2:8" x14ac:dyDescent="0.35">
      <c r="B245" s="25" t="s">
        <v>440</v>
      </c>
      <c r="C245" s="22" t="str">
        <f t="shared" si="8"/>
        <v>S2TH</v>
      </c>
      <c r="D245" s="22" t="str">
        <f t="shared" si="9"/>
        <v/>
      </c>
      <c r="E245" s="22"/>
      <c r="F245" s="25" t="s">
        <v>441</v>
      </c>
      <c r="G245" s="1"/>
      <c r="H245" s="13"/>
    </row>
    <row r="246" spans="2:8" x14ac:dyDescent="0.35">
      <c r="B246" s="24" t="s">
        <v>442</v>
      </c>
      <c r="C246" s="22" t="str">
        <f t="shared" si="8"/>
        <v>S2WL</v>
      </c>
      <c r="D246" s="22" t="str">
        <f t="shared" si="9"/>
        <v/>
      </c>
      <c r="E246" s="22"/>
      <c r="F246" s="24" t="s">
        <v>443</v>
      </c>
      <c r="G246" s="1"/>
      <c r="H246" s="13"/>
    </row>
    <row r="247" spans="2:8" x14ac:dyDescent="0.35">
      <c r="B247" s="26"/>
      <c r="C247" s="27" t="str">
        <f t="shared" si="8"/>
        <v/>
      </c>
      <c r="D247" s="28"/>
      <c r="E247" s="28"/>
    </row>
  </sheetData>
  <customSheetViews>
    <customSheetView guid="{979F862D-12BF-4A02-A971-1E66B13A5C0F}" scale="85" state="hidden" topLeftCell="A106">
      <selection activeCell="Y116" sqref="Y116"/>
      <pageMargins left="0.7" right="0.7" top="0.75" bottom="0.75" header="0.3" footer="0.3"/>
      <pageSetup paperSize="9" orientation="portrait" r:id="rId1"/>
    </customSheetView>
  </customSheetViews>
  <hyperlinks>
    <hyperlink ref="H3" r:id="rId2"/>
    <hyperlink ref="H4" r:id="rId3"/>
    <hyperlink ref="H5" r:id="rId4"/>
    <hyperlink ref="H6" r:id="rId5"/>
    <hyperlink ref="H7" r:id="rId6"/>
    <hyperlink ref="H10" r:id="rId7"/>
    <hyperlink ref="H8" r:id="rId8"/>
    <hyperlink ref="H12" r:id="rId9"/>
  </hyperlinks>
  <pageMargins left="0.7" right="0.7" top="0.75" bottom="0.75" header="0.3" footer="0.3"/>
  <pageSetup paperSize="9" orientation="portrait" r:id="rId1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Classification</vt:lpstr>
      <vt:lpstr>Classification Ver 2</vt:lpstr>
      <vt:lpstr>Conversion</vt:lpstr>
      <vt:lpstr>Reference</vt:lpstr>
      <vt:lpstr>Definitions</vt:lpstr>
      <vt:lpstr>kp_code</vt:lpstr>
      <vt:lpstr>part_description</vt:lpstr>
      <vt:lpstr>part_material</vt:lpstr>
      <vt:lpstr>part_name</vt:lpstr>
      <vt:lpstr>part_nominal</vt:lpstr>
      <vt:lpstr>part_plating</vt:lpstr>
      <vt:lpstr>part_subclass1</vt:lpstr>
      <vt:lpstr>part_subclass2</vt:lpstr>
      <vt:lpstr>part_type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Callum Oldfield</dc:creator>
  <cp:lastModifiedBy>Theodore Xavier</cp:lastModifiedBy>
  <dcterms:created xsi:type="dcterms:W3CDTF">2018-06-13T06:02:21Z</dcterms:created>
  <dcterms:modified xsi:type="dcterms:W3CDTF">2018-09-20T04:16:23Z</dcterms:modified>
</cp:coreProperties>
</file>