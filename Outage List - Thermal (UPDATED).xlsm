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pivotTables/pivotTable1.xml" ContentType="application/vnd.openxmlformats-officedocument.spreadsheetml.pivotTable+xml"/>
  <Override PartName="/xl/drawings/drawing4.xml" ContentType="application/vnd.openxmlformats-officedocument.drawing+xml"/>
  <Override PartName="/xl/charts/chart1.xml" ContentType="application/vnd.openxmlformats-officedocument.drawingml.chart+xml"/>
  <Override PartName="/xl/tables/table3.xml" ContentType="application/vnd.openxmlformats-officedocument.spreadsheetml.table+xml"/>
  <Override PartName="/xl/comments3.xml" ContentType="application/vnd.openxmlformats-officedocument.spreadsheetml.comments+xml"/>
  <Override PartName="/xl/drawings/drawing5.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xavier\Documents\Projects\Outage List\Release 1.2\"/>
    </mc:Choice>
  </mc:AlternateContent>
  <bookViews>
    <workbookView xWindow="480" yWindow="240" windowWidth="18720" windowHeight="5790"/>
  </bookViews>
  <sheets>
    <sheet name="Tracker" sheetId="1" r:id="rId1"/>
    <sheet name="List" sheetId="9" r:id="rId2"/>
    <sheet name="Asset Reference" sheetId="11" state="hidden" r:id="rId3"/>
    <sheet name="Colors" sheetId="10" state="hidden" r:id="rId4"/>
    <sheet name="Sheet2" sheetId="6" state="hidden" r:id="rId5"/>
    <sheet name="Outages" sheetId="2" state="hidden" r:id="rId6"/>
    <sheet name="Sheet3" sheetId="3" state="hidden" r:id="rId7"/>
  </sheets>
  <functionGroups builtInGroupCount="18"/>
  <definedNames>
    <definedName name="_xlnm._FilterDatabase" localSheetId="1" hidden="1">List!$B$4:$M$4</definedName>
    <definedName name="_xlnm._FilterDatabase" localSheetId="0" hidden="1">Tracker!$B$6:$E$82</definedName>
    <definedName name="al_assetname_hdr">Asset[[#Headers],[Asset Name]]</definedName>
    <definedName name="al_country_hdr">Asset[[#Headers],[Country]]</definedName>
    <definedName name="al_type_hdr">Asset[[#Headers],[Type]]</definedName>
    <definedName name="al_unit_hdr">Asset[[#Headers],[Unit]]</definedName>
    <definedName name="FullList">Tracker!$N$5:$BM$39</definedName>
    <definedName name="involvement_type">#REF!</definedName>
    <definedName name="involvement_type_hdr">#REF!</definedName>
    <definedName name="labels">Tracker!$B$85</definedName>
    <definedName name="list_duration_hdr">List!$J$4</definedName>
    <definedName name="list_enddate_hdr">List!$I$4</definedName>
    <definedName name="list_outageid_hdr">List!$B$4</definedName>
    <definedName name="list_outagename_hdr">List!$C$4</definedName>
    <definedName name="list_outagetype_hdr">List!$K$4</definedName>
    <definedName name="list_scope_hdr">List!$L$4</definedName>
    <definedName name="list_site_hdr">List!$D$4</definedName>
    <definedName name="list_startdate_hdr">List!$H$4</definedName>
    <definedName name="list_ticinvolvement_hdr">List!$M$4</definedName>
    <definedName name="list_unit_hdr">List!$E$4</definedName>
    <definedName name="month_start">Tracker!$R$6</definedName>
    <definedName name="outage_type">#REF!</definedName>
    <definedName name="outage_type_hdr">#REF!</definedName>
    <definedName name="_xlnm.Print_Area" localSheetId="0">Tracker!$B$1:$BH$39</definedName>
    <definedName name="project_list">Tracker!$B$6</definedName>
    <definedName name="ThreeYears">Tracker!$N$5:$AC$39</definedName>
    <definedName name="ThreeYearstoTwenty">Tracker!$N$5:$AO$39</definedName>
    <definedName name="tracker_country_hdr">Tracker!$D$6</definedName>
    <definedName name="tracker_start">Tracker!$B$5</definedName>
    <definedName name="tracker_type_hdr">Tracker!$E$6</definedName>
    <definedName name="tracker_unit_hdr">Tracker!$C$6</definedName>
    <definedName name="year_row">Tracker!$C$5</definedName>
  </definedNames>
  <calcPr calcId="162913"/>
  <pivotCaches>
    <pivotCache cacheId="5" r:id="rId8"/>
  </pivotCaches>
</workbook>
</file>

<file path=xl/calcChain.xml><?xml version="1.0" encoding="utf-8"?>
<calcChain xmlns="http://schemas.openxmlformats.org/spreadsheetml/2006/main">
  <c r="L85" i="1" l="1"/>
  <c r="R85" i="1"/>
  <c r="X85" i="1"/>
  <c r="AD85" i="1"/>
  <c r="AJ85" i="1"/>
  <c r="AP85" i="1"/>
  <c r="BB85" i="1"/>
  <c r="BN85" i="1"/>
  <c r="F4" i="2" l="1"/>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E3" i="2"/>
  <c r="F3" i="2" s="1"/>
  <c r="F85" i="1"/>
</calcChain>
</file>

<file path=xl/comments1.xml><?xml version="1.0" encoding="utf-8"?>
<comments xmlns="http://schemas.openxmlformats.org/spreadsheetml/2006/main">
  <authors>
    <author>Rowan Evans</author>
    <author>Ghayas Taleb</author>
    <author>Eric Hanzmann-Johnson</author>
    <author>Theodore Xavier</author>
  </authors>
  <commentList>
    <comment ref="I7" authorId="0" shapeId="0">
      <text>
        <r>
          <rPr>
            <b/>
            <sz val="9"/>
            <color indexed="81"/>
            <rFont val="Tahoma"/>
            <family val="2"/>
          </rPr>
          <t>Rowan Evans:_x000D_
60 d_x000D_
dd/mm - dd/mm_x000D_
Scope: full major outage, first DCS outage</t>
        </r>
      </text>
    </comment>
    <comment ref="BJ7" authorId="1" shapeId="0">
      <text>
        <r>
          <rPr>
            <sz val="9"/>
            <color indexed="81"/>
            <rFont val="Tahoma"/>
            <family val="2"/>
          </rPr>
          <t>Ghayas Taleb:_x000D_
AVR Upgrade_x000D_
HP, IP, 2x LP,_x000D_
Gen stator rewind + valves, _x000D_
SFPT and axuliaries</t>
        </r>
      </text>
    </comment>
    <comment ref="V8" authorId="1" shapeId="0">
      <text>
        <r>
          <rPr>
            <sz val="9"/>
            <color indexed="81"/>
            <rFont val="Tahoma"/>
            <family val="2"/>
          </rPr>
          <t>Rowan Evans:_x000D_
Steam mains_x000D_
Air heaters_x000D_
Duct inspections_x000D_
SSH_x000D_
2A Gen Transformer</t>
        </r>
      </text>
    </comment>
    <comment ref="AK8" authorId="1" shapeId="0">
      <text>
        <r>
          <rPr>
            <sz val="9"/>
            <color indexed="81"/>
            <rFont val="Tahoma"/>
            <family val="2"/>
          </rPr>
          <t>Generator Inspection_x000D_
Cooling Tower Repack_x000D_
Air Heater Seal Upgrade_x000D_
Boiler Certification_x000D_
DCS_x000D_
AER_x000D_
Turbine Upgrade</t>
        </r>
      </text>
    </comment>
    <comment ref="AG9" authorId="1" shapeId="0">
      <text>
        <r>
          <rPr>
            <sz val="9"/>
            <color indexed="81"/>
            <rFont val="Tahoma"/>
            <family val="2"/>
          </rPr>
          <t>Rowan Evans:_x000D_
3/4 CW Forebay_x000D_
3/4 Stack Inspection</t>
        </r>
      </text>
    </comment>
    <comment ref="AX9" authorId="1" shapeId="0">
      <text>
        <r>
          <rPr>
            <sz val="9"/>
            <color indexed="81"/>
            <rFont val="Tahoma"/>
            <family val="2"/>
          </rPr>
          <t>Cooling Tower Repack_x000D_
Air Heater Seal Upgrade_x000D_
Boiler Certification_x000D_
X&amp;Y Protection_x000D_
DCS_x000D_
AER_x000D_
Turbine Upgrade</t>
        </r>
      </text>
    </comment>
    <comment ref="Y10" authorId="2" shapeId="0">
      <text>
        <r>
          <rPr>
            <sz val="9"/>
            <color indexed="81"/>
            <rFont val="Tahoma"/>
            <family val="2"/>
          </rPr>
          <t>Gen inspection_x000D_
Cooling tower repack_x000D_
Air heater seal upgrade_x000D_
Chemical clean_x000D_
Boiler certification_x000D_
DCS_x000D_
AER_x000D_
GCB Replacement_x000D_
X&amp;Y Protection_x000D_
Upgrade</t>
        </r>
      </text>
    </comment>
    <comment ref="AZ10" authorId="1" shapeId="0">
      <text>
        <r>
          <rPr>
            <sz val="9"/>
            <color indexed="81"/>
            <rFont val="Tahoma"/>
            <family val="2"/>
          </rPr>
          <t>Rowan Evans:_x000D_
Steam mains_x000D_
Air heaters_x000D_
Duct inspections_x000D_
SSH_x000D_
2A Gen Transformer</t>
        </r>
      </text>
    </comment>
    <comment ref="BE10" authorId="1" shapeId="0">
      <text>
        <r>
          <rPr>
            <sz val="9"/>
            <color indexed="81"/>
            <rFont val="Tahoma"/>
            <family val="2"/>
          </rPr>
          <t xml:space="preserve">Ghayas Taleb:_x000D_
Steam Mains duct inspections/repairs air heaters SSH </t>
        </r>
      </text>
    </comment>
    <comment ref="BW10" authorId="1" shapeId="0">
      <text>
        <r>
          <rPr>
            <sz val="9"/>
            <color indexed="81"/>
            <rFont val="Tahoma"/>
            <family val="2"/>
          </rPr>
          <t>Ghayas Taleb:_x000D_
Steam mains Air heaters SSH /SCC</t>
        </r>
      </text>
    </comment>
    <comment ref="AR11" authorId="1" shapeId="0">
      <text>
        <r>
          <rPr>
            <sz val="9"/>
            <color indexed="81"/>
            <rFont val="Tahoma"/>
            <family val="2"/>
          </rPr>
          <t xml:space="preserve">Ghayas Taleb:_x000D_
Boiler certification Targeted work for End of life </t>
        </r>
      </text>
    </comment>
    <comment ref="AG12" authorId="1" shapeId="0">
      <text>
        <r>
          <rPr>
            <sz val="9"/>
            <color indexed="81"/>
            <rFont val="Tahoma"/>
            <family val="2"/>
          </rPr>
          <t xml:space="preserve">Ghayas Taleb:_x000D_
Major overhaul -boiler certification </t>
        </r>
      </text>
    </comment>
    <comment ref="M13" authorId="3" shapeId="0">
      <text>
        <r>
          <rPr>
            <sz val="9"/>
            <color indexed="81"/>
            <rFont val="Tahoma"/>
            <family val="2"/>
          </rPr>
          <t xml:space="preserve">Ghayas Taleb:_x000D_
Major overhaul boiler certification </t>
        </r>
      </text>
    </comment>
    <comment ref="AT13" authorId="1" shapeId="0">
      <text>
        <r>
          <rPr>
            <sz val="9"/>
            <color indexed="81"/>
            <rFont val="Tahoma"/>
            <family val="2"/>
          </rPr>
          <t>Ghayas Taleb:_x000D_
Boiler certification targeted work for End of life</t>
        </r>
      </text>
    </comment>
    <comment ref="T14" authorId="1" shapeId="0">
      <text>
        <r>
          <rPr>
            <sz val="9"/>
            <color indexed="81"/>
            <rFont val="Tahoma"/>
            <family val="2"/>
          </rPr>
          <t xml:space="preserve">Ghayas Taleb:_x000D_
Major overhaul -boiler certification </t>
        </r>
      </text>
    </comment>
    <comment ref="AM21" authorId="2" shapeId="0">
      <text>
        <r>
          <rPr>
            <sz val="9"/>
            <color indexed="81"/>
            <rFont val="Tahoma"/>
            <family val="2"/>
          </rPr>
          <t>HP, IP, LPA, LPB retrofit. Stator Rewind. Gen Rotor 2nd Step Inspection. LP Heater Upgrades. TSE Upgrades. Balance of outage works (valves, auxiliaries etc...)</t>
        </r>
      </text>
    </comment>
    <comment ref="AA22" authorId="2" shapeId="0">
      <text>
        <r>
          <rPr>
            <sz val="9"/>
            <color indexed="81"/>
            <rFont val="Tahoma"/>
            <family val="2"/>
          </rPr>
          <t xml:space="preserve">Eric Hanzmann-Johnson:_x000D_
18 Oct 2019 Desync_x000D_
6 Nov 2019 Permit Return.10 Nov 2019 Resync_x000D_
• Inspect, Overhaul, Adjust and Test all clutch-based electric actuator drives:_x000D_
o MSV bypass handwheels_x000D_
o CRV handwheels_x000D_
o ICV bias device drive_x000D_
o Speed Load Changer drive_x000D_
o Load Limiter drive_x000D_
• Function testing of al turbine governing, control and protection field devics_x000D_
• HP bypass control valves 1B, 1D_x000D_
• LP and HP bypass hydraulics_x000D_
• Generator GTU_x000D_
• End winding (turbine end) and HVB inspections_x000D_
_x000D_
_x000D_
plus:_x000D_
• LPA/LPB/IP turbine balancing (preferable to complete in one shot)_x000D_
• LPH inspection by UGL/TIC to have clarity on 2020 major outage work._x000D_
• “Gagging” of IPR from the front standard _x000D_
• Vacuum unloading switch wiring check_x000D_
• Main Seal oil pump suction filter cleaning (tank mounted one). Unit to be off turning gear, H2 degassed, and oil tank drained completely. This may be postponed to April 2020, due to isolation requirements._x000D_
• Condensate flow element / spool piece removal and inspection by HRL/TIC_x000D_
• Upper steam space inspection. Noise investigation. Condensate make-up line inspection. LP Heater cladding inspections._x000D_
• Inspection of LP casing piping support and LP inner casing manhole covers (with regards to unusual sound from LP cylinders)_x000D_
• Could also be an opportunity for LP pipe welding subcontractors inspect and quote on the LP welding works for upgrade outage at same time as UGL (or inspect for upcoming Bayswater outage)._x000D_
_x000D_
</t>
        </r>
      </text>
    </comment>
    <comment ref="AY22" authorId="2" shapeId="0">
      <text>
        <r>
          <rPr>
            <sz val="9"/>
            <color indexed="81"/>
            <rFont val="Tahoma"/>
            <family val="2"/>
          </rPr>
          <t>HP, IP, LPA, LPB retrofit. Stator Rewind. Gen Rotor 2nd Step Inspection. LP Heater Upgrades. TSE Upgrades. Balance of outage works (valves, auxiliaries etc...)</t>
        </r>
      </text>
    </comment>
    <comment ref="U24" authorId="0" shapeId="0">
      <text>
        <r>
          <rPr>
            <b/>
            <sz val="9"/>
            <color indexed="81"/>
            <rFont val="Tahoma"/>
            <family val="2"/>
          </rPr>
          <t>Rowan Evans:_x000D_
1st April to 4th May</t>
        </r>
      </text>
    </comment>
    <comment ref="J25" authorId="0" shapeId="0">
      <text>
        <r>
          <rPr>
            <b/>
            <sz val="9"/>
            <color indexed="81"/>
            <rFont val="Tahoma"/>
            <family val="2"/>
          </rPr>
          <t>Rowan Evans:</t>
        </r>
        <r>
          <rPr>
            <sz val="9"/>
            <color indexed="81"/>
            <rFont val="Tahoma"/>
            <family val="2"/>
          </rPr>
          <t xml:space="preserve">
24d
31/05/18 - 24/06/18
</t>
        </r>
      </text>
    </comment>
    <comment ref="AJ25" authorId="2" shapeId="0">
      <text>
        <r>
          <rPr>
            <sz val="9"/>
            <color indexed="81"/>
            <rFont val="Tahoma"/>
            <family val="2"/>
          </rPr>
          <t xml:space="preserve">W137. LP turbine inspection. </t>
        </r>
      </text>
    </comment>
    <comment ref="AT25" authorId="2" shapeId="0">
      <text>
        <r>
          <rPr>
            <sz val="9"/>
            <color indexed="81"/>
            <rFont val="Tahoma"/>
            <family val="2"/>
          </rPr>
          <t>W139</t>
        </r>
      </text>
    </comment>
    <comment ref="BD25" authorId="2" shapeId="0">
      <text>
        <r>
          <rPr>
            <sz val="9"/>
            <color indexed="81"/>
            <rFont val="Tahoma"/>
            <family val="2"/>
          </rPr>
          <t>W141</t>
        </r>
      </text>
    </comment>
    <comment ref="Z26" authorId="2" shapeId="0">
      <text>
        <r>
          <rPr>
            <sz val="9"/>
            <color indexed="81"/>
            <rFont val="Tahoma"/>
            <family val="2"/>
          </rPr>
          <t>W237. Integrity outage + elec protection upgrades</t>
        </r>
      </text>
    </comment>
    <comment ref="AJ26" authorId="2" shapeId="0">
      <text>
        <r>
          <rPr>
            <sz val="9"/>
            <color indexed="81"/>
            <rFont val="Tahoma"/>
            <family val="2"/>
          </rPr>
          <t>W238. Stage 1 OOS</t>
        </r>
      </text>
    </comment>
    <comment ref="AV26" authorId="2" shapeId="0">
      <text>
        <r>
          <rPr>
            <sz val="9"/>
            <color indexed="81"/>
            <rFont val="Tahoma"/>
            <family val="2"/>
          </rPr>
          <t>W241. LP turbine inspection. Economiser upgrade.</t>
        </r>
      </text>
    </comment>
    <comment ref="BH26" authorId="2" shapeId="0">
      <text>
        <r>
          <rPr>
            <sz val="9"/>
            <color indexed="81"/>
            <rFont val="Tahoma"/>
            <family val="2"/>
          </rPr>
          <t>W243</t>
        </r>
      </text>
    </comment>
    <comment ref="M27" authorId="3" shapeId="0">
      <text>
        <r>
          <rPr>
            <sz val="9"/>
            <color indexed="81"/>
            <rFont val="Tahoma"/>
            <family val="2"/>
          </rPr>
          <t>Rowan Evans:_x000D_
70d_x000D_
30/08/18 - 08/11/08_x000D_
Scope:_x000D_
LP incld. L-1 reblade, valves, generator and boiler</t>
        </r>
      </text>
    </comment>
    <comment ref="AD27" authorId="2" shapeId="0">
      <text>
        <r>
          <rPr>
            <sz val="9"/>
            <color indexed="81"/>
            <rFont val="Tahoma"/>
            <family val="2"/>
          </rPr>
          <t>W346. AVR compliance testing.</t>
        </r>
      </text>
    </comment>
    <comment ref="AN27" authorId="2" shapeId="0">
      <text>
        <r>
          <rPr>
            <sz val="9"/>
            <color indexed="81"/>
            <rFont val="Tahoma"/>
            <family val="2"/>
          </rPr>
          <t>W348</t>
        </r>
      </text>
    </comment>
    <comment ref="AY27" authorId="2" shapeId="0">
      <text>
        <r>
          <rPr>
            <sz val="9"/>
            <color indexed="81"/>
            <rFont val="Tahoma"/>
            <family val="2"/>
          </rPr>
          <t>W350. Stage 2 OOS.</t>
        </r>
      </text>
    </comment>
    <comment ref="BI27" authorId="2" shapeId="0">
      <text>
        <r>
          <rPr>
            <sz val="9"/>
            <color indexed="81"/>
            <rFont val="Tahoma"/>
            <family val="2"/>
          </rPr>
          <t>W352. Integrity.</t>
        </r>
      </text>
    </comment>
    <comment ref="BT27" authorId="2" shapeId="0">
      <text>
        <r>
          <rPr>
            <sz val="9"/>
            <color indexed="81"/>
            <rFont val="Tahoma"/>
            <family val="2"/>
          </rPr>
          <t>HIP major outage.</t>
        </r>
      </text>
    </comment>
    <comment ref="AC28" authorId="2" shapeId="0">
      <text>
        <r>
          <rPr>
            <sz val="9"/>
            <color indexed="81"/>
            <rFont val="Tahoma"/>
            <family val="2"/>
          </rPr>
          <t>W441</t>
        </r>
      </text>
    </comment>
    <comment ref="AM28" authorId="2" shapeId="0">
      <text>
        <r>
          <rPr>
            <sz val="9"/>
            <color indexed="81"/>
            <rFont val="Tahoma"/>
            <family val="2"/>
          </rPr>
          <t>W443</t>
        </r>
      </text>
    </comment>
    <comment ref="AY28" authorId="2" shapeId="0">
      <text>
        <r>
          <rPr>
            <sz val="9"/>
            <color indexed="81"/>
            <rFont val="Tahoma"/>
            <family val="2"/>
          </rPr>
          <t>W446</t>
        </r>
      </text>
    </comment>
    <comment ref="BJ28" authorId="2" shapeId="0">
      <text>
        <r>
          <rPr>
            <sz val="9"/>
            <color indexed="81"/>
            <rFont val="Tahoma"/>
            <family val="2"/>
          </rPr>
          <t>W448</t>
        </r>
      </text>
    </comment>
    <comment ref="CF28" authorId="2" shapeId="0">
      <text>
        <r>
          <rPr>
            <sz val="9"/>
            <color indexed="81"/>
            <rFont val="Tahoma"/>
            <family val="2"/>
          </rPr>
          <t>HIP major outage. Possible AVR upgrade</t>
        </r>
      </text>
    </comment>
    <comment ref="H29" authorId="2" shapeId="0">
      <text>
        <r>
          <rPr>
            <sz val="9"/>
            <color indexed="81"/>
            <rFont val="Tahoma"/>
            <family val="2"/>
          </rPr>
          <t>Valves and auxiliaries + SFPT. Auxiliaires shared with RCR</t>
        </r>
      </text>
    </comment>
    <comment ref="N30" authorId="2" shapeId="0">
      <text>
        <r>
          <rPr>
            <sz val="9"/>
            <color indexed="81"/>
            <rFont val="Tahoma"/>
            <family val="2"/>
          </rPr>
          <t>Gen rotor rewedge
Valves &amp; Auxiliaries (aux shared with RCR)
SFPT valves and actuators</t>
        </r>
      </text>
    </comment>
  </commentList>
</comments>
</file>

<file path=xl/comments2.xml><?xml version="1.0" encoding="utf-8"?>
<comments xmlns="http://schemas.openxmlformats.org/spreadsheetml/2006/main">
  <authors>
    <author>Eric Hanzmann-Johnson</author>
  </authors>
  <commentList>
    <comment ref="A4" authorId="0" shapeId="0">
      <text>
        <r>
          <rPr>
            <sz val="9"/>
            <color indexed="81"/>
            <rFont val="Tahoma"/>
            <family val="2"/>
          </rPr>
          <t>Gen inspection
Cooling tower repack
Air heater seal upgrade
Chemical clean
Boiler certification
DCS
AER
GCB Replacement
X&amp;Y Protection
Upgrade</t>
        </r>
      </text>
    </comment>
  </commentList>
</comments>
</file>

<file path=xl/comments3.xml><?xml version="1.0" encoding="utf-8"?>
<comments xmlns="http://schemas.openxmlformats.org/spreadsheetml/2006/main">
  <authors>
    <author>Rowan Evans</author>
    <author>Ghayas Taleb</author>
    <author>Eric Hanzmann-Johnson</author>
  </authors>
  <commentList>
    <comment ref="O7" authorId="0" shapeId="0">
      <text>
        <r>
          <rPr>
            <b/>
            <sz val="9"/>
            <color indexed="81"/>
            <rFont val="Tahoma"/>
            <family val="2"/>
          </rPr>
          <t>Rowan Evans:</t>
        </r>
        <r>
          <rPr>
            <sz val="9"/>
            <color indexed="81"/>
            <rFont val="Tahoma"/>
            <family val="2"/>
          </rPr>
          <t xml:space="preserve">
60 d
dd/mm - dd/mm
Scope: full major outage, first DCS outage</t>
        </r>
      </text>
    </comment>
    <comment ref="AQ7" authorId="0" shapeId="0">
      <text>
        <r>
          <rPr>
            <b/>
            <sz val="9"/>
            <color indexed="81"/>
            <rFont val="Tahoma"/>
            <family val="2"/>
          </rPr>
          <t>Rowan Evans:</t>
        </r>
        <r>
          <rPr>
            <sz val="9"/>
            <color indexed="81"/>
            <rFont val="Tahoma"/>
            <family val="2"/>
          </rPr>
          <t xml:space="preserve">
Steam mains
Air heaters
Duct inspections
SSH
</t>
        </r>
      </text>
    </comment>
    <comment ref="BJ7" authorId="1" shapeId="0">
      <text>
        <r>
          <rPr>
            <b/>
            <sz val="9"/>
            <color indexed="81"/>
            <rFont val="Tahoma"/>
            <family val="2"/>
          </rPr>
          <t>Ghayas Taleb:</t>
        </r>
        <r>
          <rPr>
            <sz val="9"/>
            <color indexed="81"/>
            <rFont val="Tahoma"/>
            <family val="2"/>
          </rPr>
          <t xml:space="preserve">
AVR Upgrade
HP, IP, 2x LP,
Gen stator rewind + valves, 
SFPT and axuliaries</t>
        </r>
      </text>
    </comment>
    <comment ref="P8" authorId="2" shapeId="0">
      <text>
        <r>
          <rPr>
            <b/>
            <sz val="9"/>
            <color indexed="81"/>
            <rFont val="Tahoma"/>
            <family val="2"/>
          </rPr>
          <t>Eric Hanzmann-Johnson:</t>
        </r>
        <r>
          <rPr>
            <sz val="9"/>
            <color indexed="81"/>
            <rFont val="Tahoma"/>
            <family val="2"/>
          </rPr>
          <t xml:space="preserve">
U2 being taken offline for stack inspections. 
Opportunity for IP &amp; LPA balance.
Desync 10 May, permit return 21st May</t>
        </r>
      </text>
    </comment>
    <comment ref="U8" authorId="1" shapeId="0">
      <text>
        <r>
          <rPr>
            <b/>
            <sz val="9"/>
            <color indexed="81"/>
            <rFont val="Tahoma"/>
            <family val="2"/>
          </rPr>
          <t>Ghayas Taleb:</t>
        </r>
        <r>
          <rPr>
            <sz val="9"/>
            <color indexed="81"/>
            <rFont val="Tahoma"/>
            <family val="2"/>
          </rPr>
          <t xml:space="preserve">
LP/LPA balance 
21 oct -  6 Nov </t>
        </r>
      </text>
    </comment>
    <comment ref="AE8" authorId="0" shapeId="0">
      <text>
        <r>
          <rPr>
            <b/>
            <sz val="9"/>
            <color indexed="81"/>
            <rFont val="Tahoma"/>
            <family val="2"/>
          </rPr>
          <t>Rowan Evans:</t>
        </r>
        <r>
          <rPr>
            <sz val="9"/>
            <color indexed="81"/>
            <rFont val="Tahoma"/>
            <family val="2"/>
          </rPr>
          <t xml:space="preserve">
Steam mains
Air heaters
Duct inspections
SSH
2A Gen Transformer</t>
        </r>
      </text>
    </comment>
    <comment ref="AX8" authorId="2" shapeId="0">
      <text>
        <r>
          <rPr>
            <sz val="9"/>
            <color indexed="81"/>
            <rFont val="Tahoma"/>
            <family val="2"/>
          </rPr>
          <t>Cooling Tower Repack
Air Heater Seal Upgrade
Boiler Certification
X&amp;Y Protection
DCS
AER
Turbine Upgrade</t>
        </r>
      </text>
    </comment>
    <comment ref="AL9" authorId="2" shapeId="0">
      <text>
        <r>
          <rPr>
            <sz val="9"/>
            <color indexed="81"/>
            <rFont val="Tahoma"/>
            <family val="2"/>
          </rPr>
          <t>Generator Inspection
Cooling Tower Repack
Air Heater Seal Upgrade
Boiler Certification
DCS
AER
Turbine Upgrade</t>
        </r>
      </text>
    </comment>
    <comment ref="BR9" authorId="1" shapeId="0">
      <text>
        <r>
          <rPr>
            <b/>
            <sz val="9"/>
            <color indexed="81"/>
            <rFont val="Tahoma"/>
            <family val="2"/>
          </rPr>
          <t>Ghayas Taleb:</t>
        </r>
        <r>
          <rPr>
            <sz val="9"/>
            <color indexed="81"/>
            <rFont val="Tahoma"/>
            <family val="2"/>
          </rPr>
          <t xml:space="preserve">
Steam Mains duct inspections/repairs air heaters SSH </t>
        </r>
      </text>
    </comment>
    <comment ref="Z10" authorId="2" shapeId="0">
      <text>
        <r>
          <rPr>
            <sz val="9"/>
            <color indexed="81"/>
            <rFont val="Tahoma"/>
            <family val="2"/>
          </rPr>
          <t>Gen inspection
Cooling tower repack
Air heater seal upgrade
Chemical clean
Boiler certification
DCS
AER
GCB Replacement
X&amp;Y Protection
Upgrade</t>
        </r>
      </text>
    </comment>
    <comment ref="AM10" authorId="0" shapeId="0">
      <text>
        <r>
          <rPr>
            <b/>
            <sz val="9"/>
            <color indexed="81"/>
            <rFont val="Tahoma"/>
            <family val="2"/>
          </rPr>
          <t>Rowan Evans:</t>
        </r>
        <r>
          <rPr>
            <sz val="9"/>
            <color indexed="81"/>
            <rFont val="Tahoma"/>
            <family val="2"/>
          </rPr>
          <t xml:space="preserve">
3/4 CW Forebay
3/4 Stack Inspection</t>
        </r>
      </text>
    </comment>
    <comment ref="BE10" authorId="0" shapeId="0">
      <text>
        <r>
          <rPr>
            <b/>
            <sz val="9"/>
            <color indexed="81"/>
            <rFont val="Tahoma"/>
            <family val="2"/>
          </rPr>
          <t>Rowan Evans:</t>
        </r>
        <r>
          <rPr>
            <sz val="9"/>
            <color indexed="81"/>
            <rFont val="Tahoma"/>
            <family val="2"/>
          </rPr>
          <t xml:space="preserve">
Steam mains
Air heaters
Duct inspections
SSH
2A Gen Transformer</t>
        </r>
      </text>
    </comment>
    <comment ref="BW10" authorId="1" shapeId="0">
      <text>
        <r>
          <rPr>
            <b/>
            <sz val="9"/>
            <color indexed="81"/>
            <rFont val="Tahoma"/>
            <family val="2"/>
          </rPr>
          <t>Ghayas Taleb:</t>
        </r>
        <r>
          <rPr>
            <sz val="9"/>
            <color indexed="81"/>
            <rFont val="Tahoma"/>
            <family val="2"/>
          </rPr>
          <t xml:space="preserve">
Steam mains Air heaters SSH /SCC</t>
        </r>
      </text>
    </comment>
    <comment ref="BC11" authorId="1" shapeId="0">
      <text>
        <r>
          <rPr>
            <b/>
            <sz val="9"/>
            <color indexed="81"/>
            <rFont val="Tahoma"/>
            <family val="2"/>
          </rPr>
          <t>Ghayas Taleb:</t>
        </r>
        <r>
          <rPr>
            <sz val="9"/>
            <color indexed="81"/>
            <rFont val="Tahoma"/>
            <family val="2"/>
          </rPr>
          <t xml:space="preserve">
Boiler certification Targeted work for End of life </t>
        </r>
      </text>
    </comment>
    <comment ref="AF12" authorId="1" shapeId="0">
      <text>
        <r>
          <rPr>
            <b/>
            <sz val="9"/>
            <color indexed="81"/>
            <rFont val="Tahoma"/>
            <family val="2"/>
          </rPr>
          <t>Ghayas Taleb:</t>
        </r>
        <r>
          <rPr>
            <sz val="9"/>
            <color indexed="81"/>
            <rFont val="Tahoma"/>
            <family val="2"/>
          </rPr>
          <t xml:space="preserve">
Major overhaul boiler certification </t>
        </r>
      </text>
    </comment>
    <comment ref="U13" authorId="1" shapeId="0">
      <text>
        <r>
          <rPr>
            <b/>
            <sz val="9"/>
            <color indexed="81"/>
            <rFont val="Tahoma"/>
            <family val="2"/>
          </rPr>
          <t>Ghayas Taleb:</t>
        </r>
        <r>
          <rPr>
            <sz val="9"/>
            <color indexed="81"/>
            <rFont val="Tahoma"/>
            <family val="2"/>
          </rPr>
          <t xml:space="preserve">
Major overhaul boiler certification </t>
        </r>
      </text>
    </comment>
    <comment ref="BF13" authorId="1" shapeId="0">
      <text>
        <r>
          <rPr>
            <b/>
            <sz val="9"/>
            <color indexed="81"/>
            <rFont val="Tahoma"/>
            <family val="2"/>
          </rPr>
          <t>Ghayas Taleb:</t>
        </r>
        <r>
          <rPr>
            <sz val="9"/>
            <color indexed="81"/>
            <rFont val="Tahoma"/>
            <family val="2"/>
          </rPr>
          <t xml:space="preserve">
Boiler certification targeted work for End of life</t>
        </r>
      </text>
    </comment>
    <comment ref="AH14" authorId="1" shapeId="0">
      <text>
        <r>
          <rPr>
            <b/>
            <sz val="9"/>
            <color indexed="81"/>
            <rFont val="Tahoma"/>
            <family val="2"/>
          </rPr>
          <t>Ghayas Taleb:</t>
        </r>
        <r>
          <rPr>
            <sz val="9"/>
            <color indexed="81"/>
            <rFont val="Tahoma"/>
            <family val="2"/>
          </rPr>
          <t xml:space="preserve">
Major overhaul -boiler certification </t>
        </r>
      </text>
    </comment>
    <comment ref="P24" authorId="0" shapeId="0">
      <text>
        <r>
          <rPr>
            <b/>
            <sz val="9"/>
            <color indexed="81"/>
            <rFont val="Tahoma"/>
            <family val="2"/>
          </rPr>
          <t>Rowan Evans:</t>
        </r>
        <r>
          <rPr>
            <sz val="9"/>
            <color indexed="81"/>
            <rFont val="Tahoma"/>
            <family val="2"/>
          </rPr>
          <t xml:space="preserve">
24d
31/05/18 - 24/06/18
</t>
        </r>
      </text>
    </comment>
    <comment ref="S26" authorId="0" shapeId="0">
      <text>
        <r>
          <rPr>
            <b/>
            <sz val="9"/>
            <color indexed="81"/>
            <rFont val="Tahoma"/>
            <family val="2"/>
          </rPr>
          <t>Rowan Evans:</t>
        </r>
        <r>
          <rPr>
            <sz val="9"/>
            <color indexed="81"/>
            <rFont val="Tahoma"/>
            <family val="2"/>
          </rPr>
          <t xml:space="preserve">
70d
30/08/18 - 08/11/08
Scope:
LP incld. L-1 reblade, valves, generator and boiler</t>
        </r>
      </text>
    </comment>
    <comment ref="N28" authorId="2" shapeId="0">
      <text>
        <r>
          <rPr>
            <sz val="9"/>
            <color indexed="81"/>
            <rFont val="Tahoma"/>
            <family val="2"/>
          </rPr>
          <t>Valves and auxiliaries + SFPT. Auxiliaires shared with RCR</t>
        </r>
      </text>
    </comment>
    <comment ref="T29" authorId="2" shapeId="0">
      <text>
        <r>
          <rPr>
            <sz val="9"/>
            <color indexed="81"/>
            <rFont val="Tahoma"/>
            <family val="2"/>
          </rPr>
          <t>Gen rotor rewedge
Valves &amp; Auxiliaries (aux shared with RCR)
SFPT valves and actuators</t>
        </r>
      </text>
    </comment>
  </commentList>
</comments>
</file>

<file path=xl/sharedStrings.xml><?xml version="1.0" encoding="utf-8"?>
<sst xmlns="http://schemas.openxmlformats.org/spreadsheetml/2006/main" count="1542" uniqueCount="260">
  <si>
    <t>Site:</t>
  </si>
  <si>
    <t>Unit</t>
  </si>
  <si>
    <t>Jan</t>
  </si>
  <si>
    <t>Feb</t>
  </si>
  <si>
    <t>Mar</t>
  </si>
  <si>
    <t>Apr</t>
  </si>
  <si>
    <t>May</t>
  </si>
  <si>
    <t>Jun</t>
  </si>
  <si>
    <t>Jul</t>
  </si>
  <si>
    <t>Aug</t>
  </si>
  <si>
    <t>Sep</t>
  </si>
  <si>
    <t>Oct</t>
  </si>
  <si>
    <t>Nov</t>
  </si>
  <si>
    <t>Dec</t>
  </si>
  <si>
    <t>Bayswater</t>
  </si>
  <si>
    <t>Major</t>
  </si>
  <si>
    <t>Minor</t>
  </si>
  <si>
    <t>Retrofit +AVR</t>
  </si>
  <si>
    <t>Retrofit + AVR</t>
  </si>
  <si>
    <t xml:space="preserve">Minor </t>
  </si>
  <si>
    <t>Liddell</t>
  </si>
  <si>
    <t xml:space="preserve"> </t>
  </si>
  <si>
    <t>Callide C</t>
  </si>
  <si>
    <t>B1</t>
  </si>
  <si>
    <t>B2</t>
  </si>
  <si>
    <t>C3</t>
  </si>
  <si>
    <t>Retrofit</t>
  </si>
  <si>
    <t>C4</t>
  </si>
  <si>
    <t>Vales Point</t>
  </si>
  <si>
    <t>Mt. Piper</t>
  </si>
  <si>
    <t>Tallawarra</t>
  </si>
  <si>
    <t>Yallourn</t>
  </si>
  <si>
    <t>Eraring</t>
  </si>
  <si>
    <t xml:space="preserve">Major </t>
  </si>
  <si>
    <t>Tarong Nth</t>
  </si>
  <si>
    <t>Muja</t>
  </si>
  <si>
    <t xml:space="preserve">Calaca </t>
  </si>
  <si>
    <t>Min of Duration (Days)</t>
  </si>
  <si>
    <t>Column Labels</t>
  </si>
  <si>
    <t>Row Labels</t>
  </si>
  <si>
    <t>(blank)</t>
  </si>
  <si>
    <t>Grand Total</t>
  </si>
  <si>
    <t xml:space="preserve">Liddell </t>
  </si>
  <si>
    <t>Vales Pt</t>
  </si>
  <si>
    <t>Outage 
ID</t>
  </si>
  <si>
    <t>Site</t>
  </si>
  <si>
    <t>Start Date</t>
  </si>
  <si>
    <t>Duration (Days)</t>
  </si>
  <si>
    <t>End Date</t>
  </si>
  <si>
    <t>TIC Invovlement</t>
  </si>
  <si>
    <t>Scope</t>
  </si>
  <si>
    <t>Out000001</t>
  </si>
  <si>
    <t>Major Involvement</t>
  </si>
  <si>
    <t>HP, IP, LP, Gen, AUX</t>
  </si>
  <si>
    <t>Out000002</t>
  </si>
  <si>
    <t>IP and LPA Balance</t>
  </si>
  <si>
    <t>Out000003</t>
  </si>
  <si>
    <t>Out000004</t>
  </si>
  <si>
    <t>LPA Balance</t>
  </si>
  <si>
    <t>Out000005</t>
  </si>
  <si>
    <t>Major Overhaul</t>
  </si>
  <si>
    <t>Out000006</t>
  </si>
  <si>
    <t>Minor Involvement</t>
  </si>
  <si>
    <t>Boiler Clean</t>
  </si>
  <si>
    <t>Out000007</t>
  </si>
  <si>
    <t>Vales, Boiler</t>
  </si>
  <si>
    <t>Out000008</t>
  </si>
  <si>
    <t>No Involvement</t>
  </si>
  <si>
    <t>Out000009</t>
  </si>
  <si>
    <t>Out000010</t>
  </si>
  <si>
    <t>Out000011</t>
  </si>
  <si>
    <t>Out000012</t>
  </si>
  <si>
    <t>LP, Gen, Aux</t>
  </si>
  <si>
    <t>Out000013</t>
  </si>
  <si>
    <t>Out000014</t>
  </si>
  <si>
    <t>Out000015</t>
  </si>
  <si>
    <t>Out000016</t>
  </si>
  <si>
    <t>Out000017</t>
  </si>
  <si>
    <t>Out000018</t>
  </si>
  <si>
    <t>Out000019</t>
  </si>
  <si>
    <t>Out000020</t>
  </si>
  <si>
    <t>Out000021</t>
  </si>
  <si>
    <t>Out000022</t>
  </si>
  <si>
    <t>Out000023</t>
  </si>
  <si>
    <t>Out000024</t>
  </si>
  <si>
    <t>Out000025</t>
  </si>
  <si>
    <t>Out000026</t>
  </si>
  <si>
    <t>Out000027</t>
  </si>
  <si>
    <t>Out000028</t>
  </si>
  <si>
    <t>Out000029</t>
  </si>
  <si>
    <t>Out000030</t>
  </si>
  <si>
    <t>Out000031</t>
  </si>
  <si>
    <t>Out000032</t>
  </si>
  <si>
    <t>Out000033</t>
  </si>
  <si>
    <t>Out000034</t>
  </si>
  <si>
    <t>Out000035</t>
  </si>
  <si>
    <t>Out000036</t>
  </si>
  <si>
    <t>Season Totals</t>
  </si>
  <si>
    <t>Major - Minor Involvement</t>
  </si>
  <si>
    <t>Major - No involvement</t>
  </si>
  <si>
    <t>Bayswater Unit 4, Retrofit + AVR (AUG2019)</t>
  </si>
  <si>
    <t>Liddell Unit 2,   (DEC2019)</t>
  </si>
  <si>
    <t>Callide C Unit B2, Major (FEB2019)</t>
  </si>
  <si>
    <t>Callide C Unit C4, Retrofit (SEP2021)</t>
  </si>
  <si>
    <t>Vales Point Unit 5, Minor (SEP2019)</t>
  </si>
  <si>
    <t>Vales Point Unit 6, Minor (APR2019)</t>
  </si>
  <si>
    <t>Vales Point Unit 6, Retrofit (MAR2020)</t>
  </si>
  <si>
    <t>Yallourn Unit 1, Minor (NOV2018)</t>
  </si>
  <si>
    <t>Yallourn Unit 1, Minor (MAY2019)</t>
  </si>
  <si>
    <t>Yallourn Unit 1, Minor (NOV2019)</t>
  </si>
  <si>
    <t>Yallourn Unit 2, Minor (DEC2018)</t>
  </si>
  <si>
    <t>Yallourn Unit 2, Minor (APR2019)</t>
  </si>
  <si>
    <t>Yallourn Unit 3, Minor (APR2019)</t>
  </si>
  <si>
    <t>Yallourn Unit 3, Minor (SEP2019)</t>
  </si>
  <si>
    <t>Yallourn Unit 4, Minor (JAN2019)</t>
  </si>
  <si>
    <t>Yallourn Unit 4, Minor (JUL2019)</t>
  </si>
  <si>
    <t>Yallourn Unit 4, Minor (DEC2019)</t>
  </si>
  <si>
    <t>Eraring Unit 1, Major (SEP2021)</t>
  </si>
  <si>
    <t>Eraring Unit 2, Major (SEP2018)</t>
  </si>
  <si>
    <t>Gen rotor rewedge
Valves &amp; Auxiliaries (aux shared with RCR)
SFPT valves and actuators</t>
  </si>
  <si>
    <t>Eraring Unit 2, Major (SEP2022)</t>
  </si>
  <si>
    <t>Eraring Unit 3, Major  (SEP2019)</t>
  </si>
  <si>
    <t>Eraring Unit 3, Major (SEP2023)</t>
  </si>
  <si>
    <t>Eraring Unit 4, Major (SEP2020)</t>
  </si>
  <si>
    <t>Eraring Unit 4, Major (SEP2024)</t>
  </si>
  <si>
    <t>Tarong Nth Unit 1, Major (SEP2020)</t>
  </si>
  <si>
    <t>Muja Unit 8, Minor (SEP2018)</t>
  </si>
  <si>
    <t>Heavy Involvement</t>
  </si>
  <si>
    <t>Outage Type</t>
  </si>
  <si>
    <t>Asset Name</t>
  </si>
  <si>
    <t>Outage ID</t>
  </si>
  <si>
    <t>TIC Involvement</t>
  </si>
  <si>
    <t>Outage Name</t>
  </si>
  <si>
    <t>190, 235, 250</t>
  </si>
  <si>
    <t>241, 65, 36</t>
  </si>
  <si>
    <t>217, 217, 217</t>
  </si>
  <si>
    <t>201, 242, 151</t>
  </si>
  <si>
    <t>Mica Creek</t>
  </si>
  <si>
    <t>A5</t>
  </si>
  <si>
    <t>Customer Assets</t>
  </si>
  <si>
    <t>Callide C Unit C3, Retrofit (SEP2019)</t>
  </si>
  <si>
    <t>Mica Creek Unit A5, Minor (APR2019)</t>
  </si>
  <si>
    <t>Yallourn Unit 3, Major (AUG2018)</t>
  </si>
  <si>
    <t>Yallourn Unit 4, Minor (MAR2018)</t>
  </si>
  <si>
    <t>Yallourn Unit 4, Minor (JUL2018)</t>
  </si>
  <si>
    <t>Eraring Unit 1, Minor (MAR2018)</t>
  </si>
  <si>
    <t>Valves and auxiliaries + SFPT. Auxiliaires shared with RCR</t>
  </si>
  <si>
    <t>Muja Unit 5, Minor (OCT2019)</t>
  </si>
  <si>
    <t>Muja Unit 6, Major (SEP2019)</t>
  </si>
  <si>
    <t>Muja Unit 7, Major (OCT2020)</t>
  </si>
  <si>
    <t>Muja Unit 8, Minor (OCT2020)</t>
  </si>
  <si>
    <t>Vales Point Unit 6, Minor (MAR2018)</t>
  </si>
  <si>
    <t>Mt. Piper Unit 2, Minor (OCT2019)</t>
  </si>
  <si>
    <t>Yallourn Unit 1, Minor (MAY2018)</t>
  </si>
  <si>
    <t xml:space="preserve">Rowan Evans:
24d
31/05/18 - 24/06/18
</t>
  </si>
  <si>
    <t>Yallourn Unit 2, Minor (APR2018)</t>
  </si>
  <si>
    <t>Bayswater Unit 1, Major (APR2018)</t>
  </si>
  <si>
    <t>Vales Point Unit 5, Major (SEP2018)</t>
  </si>
  <si>
    <t xml:space="preserve">Ghayas Taleb:_x000D_
Major overhaul boiler certification </t>
  </si>
  <si>
    <t>Muja Unit 7, Major (FEB2020)</t>
  </si>
  <si>
    <t>Rowan Evans:_x000D_
60 d_x000D_
dd/mm - dd/mm_x000D_
Scope: full major outage, first DCS outage</t>
  </si>
  <si>
    <t xml:space="preserve">Ghayas Taleb:_x000D_
Major overhaul -boiler certification </t>
  </si>
  <si>
    <t>Liddell Unit 3, Major (AUG2018)</t>
  </si>
  <si>
    <t>Rowan Evans:_x000D_
1st April to 4th May</t>
  </si>
  <si>
    <t>Rowan Evans:_x000D_
70d_x000D_
30/08/18 - 08/11/08_x000D_
Scope:_x000D_
LP incld. L-1 reblade, valves, generator and boiler</t>
  </si>
  <si>
    <t>Bayswater Unit 2, Minor (MAY2019)</t>
  </si>
  <si>
    <t>Rowan Evans:_x000D_
Steam mains_x000D_
Air heaters_x000D_
Duct inspections_x000D_
SSH_x000D_
2A Gen Transformer</t>
  </si>
  <si>
    <t>Gen inspection_x000D_
Cooling tower repack_x000D_
Air heater seal upgrade_x000D_
Chemical clean_x000D_
Boiler certification_x000D_
DCS_x000D_
AER_x000D_
GCB Replacement_x000D_
X&amp;Y Protection_x000D_
Upgrade</t>
  </si>
  <si>
    <t>Bayswater Unit 3, Minor (APR2020)</t>
  </si>
  <si>
    <t>Rowan Evans:_x000D_
3/4 CW Forebay_x000D_
3/4 Stack Inspection</t>
  </si>
  <si>
    <t>Bayswater Unit 2, Retrofit + AVR (AUG2020)</t>
  </si>
  <si>
    <t>Generator Inspection_x000D_
Cooling Tower Repack_x000D_
Air Heater Seal Upgrade_x000D_
Boiler Certification_x000D_
DCS_x000D_
AER_x000D_
Turbine Upgrade</t>
  </si>
  <si>
    <t>Bayswater Unit 1, Minor (MAR2021)</t>
  </si>
  <si>
    <t>Bayswater Unit 3, Retrofit + AVR (SEP2021)</t>
  </si>
  <si>
    <t>Cooling Tower Repack_x000D_
Air Heater Seal Upgrade_x000D_
Boiler Certification_x000D_
X&amp;Y Protection_x000D_
DCS_x000D_
AER_x000D_
Turbine Upgrade</t>
  </si>
  <si>
    <t>Bayswater Unit 4, Minor (NOV2021)</t>
  </si>
  <si>
    <t>Ghayas Taleb:_x000D_
AVR Upgrade_x000D_
HP, IP, 2x LP,_x000D_
Gen stator rewind + valves, _x000D_
SFPT and axuliaries</t>
  </si>
  <si>
    <t>Bayswater Unit 1, Retrofit + AVR (SEP2022)</t>
  </si>
  <si>
    <t xml:space="preserve">Ghayas Taleb:_x000D_
Steam Mains duct inspections/repairs air heaters SSH </t>
  </si>
  <si>
    <t>Bayswater Unit 4, Minor (APR2022)</t>
  </si>
  <si>
    <t>Bayswater Unit 2, Minor (APR2023)</t>
  </si>
  <si>
    <t>Ghayas Taleb:_x000D_
Steam mains Air heaters SSH /SCC</t>
  </si>
  <si>
    <t>Bayswater Unit 4, Minor (OCT2023)</t>
  </si>
  <si>
    <t>Bayswater Unit 3, Minor (MAY2024)</t>
  </si>
  <si>
    <t>Bayswater Unit 2, Major (SEP2024)</t>
  </si>
  <si>
    <t>Liddell Unit 4, Major (MAR2019)</t>
  </si>
  <si>
    <t>Liddell Unit 2, Major (APR2020)</t>
  </si>
  <si>
    <t>Liddell Unit 1, Minor (MAR2021)</t>
  </si>
  <si>
    <t xml:space="preserve">Ghayas Taleb:_x000D_
Boiler certification Targeted work for End of life </t>
  </si>
  <si>
    <t>Liddell Unit 3, Minor (MAY2021)</t>
  </si>
  <si>
    <t>Ghayas Taleb:_x000D_
Boiler certification targeted work for End of life</t>
  </si>
  <si>
    <t>Major - Heavy Involvement</t>
  </si>
  <si>
    <t xml:space="preserve">Eric Hanzmann-Johnson:_x000D_
18 Oct 2019 Desync_x000D_
6 Nov 2019 Permit Return.10 Nov 2019 Resync_x000D_
• Inspect, Overhaul, Adjust and Test all clutch-based electric actuator drives:_x000D_
o MSV bypass handwheels_x000D_
o CRV handwheels_x000D_
o ICV bias device drive_x000D_
o Speed Load Changer drive_x000D_
o Load Limiter drive_x000D_
• Function testing of al turbine governing, control and protection field devics_x000D_
• HP bypass control valves 1B, 1D_x000D_
• LP and HP bypass hydraulics_x000D_
• Generator GTU_x000D_
• End winding (turbine end) and HVB inspections_x000D_
_x000D_
_x000D_
plus:_x000D_
• LPA/LPB/IP turbine balancing (preferable to complete in one shot)_x000D_
• LPH inspection by UGL/TIC to have clarity on 2020 major outage work._x000D_
• “Gagging” of IPR from the front standard _x000D_
• Vacuum unloading switch wiring check_x000D_
• Main Seal oil pump suction filter cleaning (tank mounted one). Unit to be off turning gear, H2 degassed, and oil tank drained completely. This may be postponed to April 2020, due to isolation requirements._x000D_
• Condensate flow element / spool piece removal and inspection by HRL/TIC_x000D_
• Upper steam space inspection. Noise investigation. Condensate make-up line inspection. LP Heater cladding inspections._x000D_
• Inspection of LP casing piping support and LP inner casing manhole covers (with regards to unusual sound from LP cylinders)_x000D_
• Could also be an opportunity for LP pipe welding subcontractors inspect and quote on the LP welding works for upgrade outage at same time as UGL (or inspect for upcoming Bayswater outage)._x000D_
_x000D_
</t>
  </si>
  <si>
    <t>Mt. Piper Unit 1, Retrofit (OCT2020)</t>
  </si>
  <si>
    <t>HP, IP, LPA, LPB retrofit. Stator Rewind. Gen Rotor 2nd Step Inspection. LP Heater Upgrades. TSE Upgrades. Balance of outage works (valves, auxiliaries etc...)</t>
  </si>
  <si>
    <t>Mt. Piper Unit 2, Retrofit (OCT2021)</t>
  </si>
  <si>
    <t>Yallourn Unit 1, Major (JUL2020)</t>
  </si>
  <si>
    <t xml:space="preserve">W137. LP turbine inspection. </t>
  </si>
  <si>
    <t>Yallourn Unit 1, Minor (MAY2021)</t>
  </si>
  <si>
    <t>W139</t>
  </si>
  <si>
    <t>Yallourn Unit 1, Minor (MAR2022)</t>
  </si>
  <si>
    <t>W141</t>
  </si>
  <si>
    <t>Yallourn Unit 2, Minor (SEP2019)</t>
  </si>
  <si>
    <t>W237. Integrity outage + elec protection upgrades</t>
  </si>
  <si>
    <t>Yallourn Unit 2, Minor (JUL2020)</t>
  </si>
  <si>
    <t>W238. Stage 1 OOS</t>
  </si>
  <si>
    <t>Yallourn Unit 2, Major (JUL2021)</t>
  </si>
  <si>
    <t>W241. LP turbine inspection. Economiser upgrade.</t>
  </si>
  <si>
    <t>Yallourn Unit 2, Minor (JUL2022)</t>
  </si>
  <si>
    <t>W243</t>
  </si>
  <si>
    <t>Yallourn Unit 3, Minor (JAN2020)</t>
  </si>
  <si>
    <t>Yallourn Unit 3, Minor (NOV2020)</t>
  </si>
  <si>
    <t>W348</t>
  </si>
  <si>
    <t>Yallourn Unit 3, Minor (OCT2021)</t>
  </si>
  <si>
    <t>W350. Stage 2 OOS.</t>
  </si>
  <si>
    <t>Yallourn Unit 3, Minor (AUG2022)</t>
  </si>
  <si>
    <t>W352. Integrity.</t>
  </si>
  <si>
    <t>W441</t>
  </si>
  <si>
    <t>W346. AVR compliance testing.</t>
  </si>
  <si>
    <t>Yallourn Unit 4, Minor (OCT2020)</t>
  </si>
  <si>
    <t>W443</t>
  </si>
  <si>
    <t>Yallourn Unit 4, Minor (OCT2021)</t>
  </si>
  <si>
    <t>W446</t>
  </si>
  <si>
    <t>Yallourn Unit 4, Minor (SEP2022)</t>
  </si>
  <si>
    <t>W448</t>
  </si>
  <si>
    <t>Yallourn Unit 3, Major (JUL2023)</t>
  </si>
  <si>
    <t>HIP major outage.</t>
  </si>
  <si>
    <t>Yallourn Unit 4, Major (JUL2024)</t>
  </si>
  <si>
    <t>HIP major outage. Possible AVR upgrade</t>
  </si>
  <si>
    <t>Tanjung Bin</t>
  </si>
  <si>
    <t>Jimah</t>
  </si>
  <si>
    <t>Port Dickson</t>
  </si>
  <si>
    <t>Kapar</t>
  </si>
  <si>
    <t>Kulim Nur</t>
  </si>
  <si>
    <t>Country</t>
  </si>
  <si>
    <t>Type</t>
  </si>
  <si>
    <t>Australia</t>
  </si>
  <si>
    <t>STG</t>
  </si>
  <si>
    <t>CCGT</t>
  </si>
  <si>
    <t>Worsley Alumina (MHI)</t>
  </si>
  <si>
    <t>Worsley Alumina (Siemens)</t>
  </si>
  <si>
    <t>QAL</t>
  </si>
  <si>
    <t>Jeeralang</t>
  </si>
  <si>
    <t>A1</t>
  </si>
  <si>
    <t>OCGT</t>
  </si>
  <si>
    <t>A2</t>
  </si>
  <si>
    <t>A3</t>
  </si>
  <si>
    <t>A4</t>
  </si>
  <si>
    <t>B3</t>
  </si>
  <si>
    <t>Bendeela</t>
  </si>
  <si>
    <t>Hydro</t>
  </si>
  <si>
    <t>Kangaroo Valley</t>
  </si>
  <si>
    <t>Murray 1</t>
  </si>
  <si>
    <t>Te Mihi</t>
  </si>
  <si>
    <t>New Zealand</t>
  </si>
  <si>
    <t>Geothermal</t>
  </si>
  <si>
    <t>Phillipines</t>
  </si>
  <si>
    <t>MakBan</t>
  </si>
  <si>
    <t>Malaysia</t>
  </si>
  <si>
    <t xml:space="preserve">Country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</si>
</sst>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m/yy;@"/>
  </numFmts>
  <fonts count="19" x14ac:knownFonts="1">
    <font>
      <sz val="11"/>
      <color theme="1"/>
      <name val="Trebuchet MS"/>
      <family val="2"/>
      <scheme val="minor"/>
    </font>
    <font>
      <sz val="11"/>
      <color theme="1"/>
      <name val="Trebuchet MS"/>
      <family val="2"/>
      <scheme val="minor"/>
    </font>
    <font>
      <b/>
      <sz val="11"/>
      <color theme="1"/>
      <name val="Trebuchet MS"/>
      <family val="2"/>
      <scheme val="minor"/>
    </font>
    <font>
      <b/>
      <sz val="12"/>
      <color theme="1"/>
      <name val="Trebuchet MS"/>
      <family val="2"/>
      <scheme val="minor"/>
    </font>
    <font>
      <sz val="11"/>
      <color theme="3"/>
      <name val="Trebuchet MS"/>
      <family val="2"/>
      <scheme val="minor"/>
    </font>
    <font>
      <sz val="11"/>
      <color theme="6" tint="-0.499984740745262"/>
      <name val="Trebuchet MS"/>
      <family val="2"/>
      <scheme val="minor"/>
    </font>
    <font>
      <sz val="11"/>
      <color theme="4" tint="-0.249977111117893"/>
      <name val="Trebuchet MS"/>
      <family val="2"/>
      <scheme val="minor"/>
    </font>
    <font>
      <b/>
      <sz val="14"/>
      <color theme="1"/>
      <name val="Trebuchet MS"/>
      <family val="2"/>
      <scheme val="minor"/>
    </font>
    <font>
      <sz val="14"/>
      <color theme="1"/>
      <name val="Trebuchet MS"/>
      <family val="2"/>
      <scheme val="minor"/>
    </font>
    <font>
      <b/>
      <sz val="9"/>
      <color indexed="81"/>
      <name val="Tahoma"/>
      <family val="2"/>
    </font>
    <font>
      <sz val="9"/>
      <color indexed="81"/>
      <name val="Tahoma"/>
      <family val="2"/>
    </font>
    <font>
      <sz val="11"/>
      <color rgb="FF9C0006"/>
      <name val="Trebuchet MS"/>
      <family val="2"/>
      <scheme val="minor"/>
    </font>
    <font>
      <sz val="11"/>
      <color theme="5"/>
      <name val="Trebuchet MS"/>
      <family val="2"/>
      <scheme val="minor"/>
    </font>
    <font>
      <sz val="11"/>
      <name val="Trebuchet MS"/>
      <family val="2"/>
      <scheme val="minor"/>
    </font>
    <font>
      <sz val="11"/>
      <color theme="5" tint="-0.249977111117893"/>
      <name val="Trebuchet MS"/>
      <family val="2"/>
      <scheme val="minor"/>
    </font>
    <font>
      <sz val="11"/>
      <color theme="1"/>
      <name val="Calibri"/>
      <family val="2"/>
    </font>
    <font>
      <b/>
      <sz val="12"/>
      <color theme="0"/>
      <name val="Trebuchet MS"/>
      <family val="2"/>
      <scheme val="minor"/>
    </font>
    <font>
      <b/>
      <sz val="11"/>
      <name val="Trebuchet MS"/>
      <family val="2"/>
      <scheme val="minor"/>
    </font>
    <font>
      <sz val="12"/>
      <color theme="1"/>
      <name val="Trebuchet MS"/>
      <family val="2"/>
      <scheme val="minor"/>
    </font>
  </fonts>
  <fills count="20">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6" tint="0.39997558519241921"/>
        <bgColor indexed="64"/>
      </patternFill>
    </fill>
    <fill>
      <patternFill patternType="solid">
        <fgColor theme="4" tint="0.59999389629810485"/>
        <bgColor indexed="64"/>
      </patternFill>
    </fill>
    <fill>
      <patternFill patternType="solid">
        <fgColor rgb="FFFFC7CE"/>
      </patternFill>
    </fill>
    <fill>
      <patternFill patternType="solid">
        <fgColor theme="9"/>
        <bgColor indexed="64"/>
      </patternFill>
    </fill>
    <fill>
      <patternFill patternType="solid">
        <fgColor theme="5" tint="0.59999389629810485"/>
        <bgColor indexed="64"/>
      </patternFill>
    </fill>
    <fill>
      <patternFill patternType="solid">
        <fgColor theme="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rgb="FF0064D2"/>
        <bgColor indexed="64"/>
      </patternFill>
    </fill>
    <fill>
      <patternFill patternType="solid">
        <fgColor rgb="FF666666"/>
        <bgColor indexed="64"/>
      </patternFill>
    </fill>
    <fill>
      <patternFill patternType="solid">
        <fgColor rgb="FFC9F297"/>
        <bgColor indexed="64"/>
      </patternFill>
    </fill>
    <fill>
      <patternFill patternType="solid">
        <fgColor rgb="FFBEEBFA"/>
        <bgColor indexed="64"/>
      </patternFill>
    </fill>
    <fill>
      <patternFill patternType="solid">
        <fgColor rgb="FFC7CCE4"/>
        <bgColor indexed="64"/>
      </patternFill>
    </fill>
    <fill>
      <patternFill patternType="solid">
        <fgColor rgb="FFF14124"/>
        <bgColor indexed="64"/>
      </patternFill>
    </fill>
    <fill>
      <patternFill patternType="solid">
        <fgColor rgb="FFD9D9D9"/>
        <bgColor indexed="64"/>
      </patternFill>
    </fill>
  </fills>
  <borders count="66">
    <border>
      <left/>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medium">
        <color indexed="64"/>
      </bottom>
      <diagonal/>
    </border>
    <border>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medium">
        <color indexed="64"/>
      </top>
      <bottom style="thin">
        <color indexed="64"/>
      </bottom>
      <diagonal/>
    </border>
    <border>
      <left style="medium">
        <color indexed="64"/>
      </left>
      <right/>
      <top style="medium">
        <color indexed="64"/>
      </top>
      <bottom style="medium">
        <color indexed="64"/>
      </bottom>
      <diagonal/>
    </border>
    <border>
      <left/>
      <right style="thin">
        <color indexed="64"/>
      </right>
      <top style="thin">
        <color indexed="64"/>
      </top>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bottom/>
      <diagonal/>
    </border>
    <border>
      <left/>
      <right style="thick">
        <color indexed="64"/>
      </right>
      <top/>
      <bottom/>
      <diagonal/>
    </border>
    <border>
      <left style="thin">
        <color indexed="64"/>
      </left>
      <right style="thick">
        <color indexed="64"/>
      </right>
      <top style="thin">
        <color indexed="64"/>
      </top>
      <bottom style="thick">
        <color indexed="64"/>
      </bottom>
      <diagonal/>
    </border>
    <border>
      <left style="thin">
        <color indexed="64"/>
      </left>
      <right style="thin">
        <color auto="1"/>
      </right>
      <top style="thin">
        <color indexed="64"/>
      </top>
      <bottom style="thin">
        <color indexed="64"/>
      </bottom>
      <diagonal/>
    </border>
    <border>
      <left style="thick">
        <color indexed="64"/>
      </left>
      <right style="thin">
        <color auto="1"/>
      </right>
      <top style="thick">
        <color indexed="64"/>
      </top>
      <bottom style="thin">
        <color indexed="64"/>
      </bottom>
      <diagonal/>
    </border>
    <border>
      <left style="thick">
        <color indexed="64"/>
      </left>
      <right style="thin">
        <color auto="1"/>
      </right>
      <top style="thin">
        <color indexed="64"/>
      </top>
      <bottom style="thick">
        <color indexed="64"/>
      </bottom>
      <diagonal/>
    </border>
    <border>
      <left style="thin">
        <color indexed="64"/>
      </left>
      <right style="thin">
        <color auto="1"/>
      </right>
      <top style="thin">
        <color indexed="64"/>
      </top>
      <bottom style="thick">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medium">
        <color indexed="64"/>
      </bottom>
      <diagonal/>
    </border>
    <border>
      <left style="thin">
        <color indexed="64"/>
      </left>
      <right style="thick">
        <color indexed="64"/>
      </right>
      <top style="medium">
        <color indexed="64"/>
      </top>
      <bottom style="medium">
        <color indexed="64"/>
      </bottom>
      <diagonal/>
    </border>
    <border>
      <left style="medium">
        <color indexed="64"/>
      </left>
      <right style="thin">
        <color auto="1"/>
      </right>
      <top style="thin">
        <color indexed="64"/>
      </top>
      <bottom style="thick">
        <color indexed="64"/>
      </bottom>
      <diagonal/>
    </border>
    <border>
      <left style="thin">
        <color indexed="64"/>
      </left>
      <right style="medium">
        <color indexed="64"/>
      </right>
      <top style="thin">
        <color indexed="64"/>
      </top>
      <bottom style="thick">
        <color indexed="64"/>
      </bottom>
      <diagonal/>
    </border>
    <border>
      <left style="thin">
        <color indexed="64"/>
      </left>
      <right style="thin">
        <color auto="1"/>
      </right>
      <top style="thick">
        <color indexed="64"/>
      </top>
      <bottom style="thin">
        <color indexed="64"/>
      </bottom>
      <diagonal/>
    </border>
  </borders>
  <cellStyleXfs count="3">
    <xf numFmtId="0" fontId="0" fillId="0" borderId="0"/>
    <xf numFmtId="0" fontId="1" fillId="0" borderId="0"/>
    <xf numFmtId="0" fontId="11" fillId="7" borderId="0" applyNumberFormat="0" applyBorder="0" applyAlignment="0" applyProtection="0"/>
  </cellStyleXfs>
  <cellXfs count="334">
    <xf numFmtId="0" fontId="0" fillId="0" borderId="0" xfId="0"/>
    <xf numFmtId="0" fontId="2" fillId="3" borderId="1" xfId="1" applyFont="1" applyFill="1" applyBorder="1"/>
    <xf numFmtId="0" fontId="2" fillId="3" borderId="4" xfId="1" applyFont="1" applyFill="1" applyBorder="1"/>
    <xf numFmtId="0" fontId="1" fillId="0" borderId="5" xfId="1" applyBorder="1"/>
    <xf numFmtId="0" fontId="1" fillId="0" borderId="6" xfId="1" applyBorder="1" applyAlignment="1">
      <alignment horizontal="center"/>
    </xf>
    <xf numFmtId="0" fontId="1" fillId="0" borderId="13" xfId="1" applyBorder="1"/>
    <xf numFmtId="0" fontId="1" fillId="0" borderId="11" xfId="1" applyBorder="1" applyAlignment="1">
      <alignment horizontal="center"/>
    </xf>
    <xf numFmtId="0" fontId="1" fillId="0" borderId="17" xfId="1" applyBorder="1"/>
    <xf numFmtId="0" fontId="1" fillId="0" borderId="18" xfId="1" applyBorder="1" applyAlignment="1">
      <alignment horizontal="center"/>
    </xf>
    <xf numFmtId="0" fontId="1" fillId="0" borderId="5" xfId="1" applyFill="1" applyBorder="1"/>
    <xf numFmtId="0" fontId="1" fillId="0" borderId="24" xfId="1" applyBorder="1"/>
    <xf numFmtId="0" fontId="1" fillId="0" borderId="5" xfId="1" applyFont="1" applyBorder="1"/>
    <xf numFmtId="0" fontId="1" fillId="0" borderId="6" xfId="1" applyFont="1" applyBorder="1" applyAlignment="1">
      <alignment horizontal="center"/>
    </xf>
    <xf numFmtId="0" fontId="1" fillId="0" borderId="11" xfId="1" applyFont="1" applyBorder="1" applyAlignment="1">
      <alignment horizontal="center"/>
    </xf>
    <xf numFmtId="0" fontId="1" fillId="0" borderId="18" xfId="1" applyFont="1" applyBorder="1" applyAlignment="1">
      <alignment horizontal="center"/>
    </xf>
    <xf numFmtId="0" fontId="1" fillId="0" borderId="29" xfId="1" applyBorder="1"/>
    <xf numFmtId="0" fontId="1" fillId="0" borderId="30" xfId="1" applyBorder="1" applyAlignment="1">
      <alignment horizontal="center"/>
    </xf>
    <xf numFmtId="0" fontId="1" fillId="0" borderId="27" xfId="1" applyBorder="1" applyAlignment="1">
      <alignment horizontal="center"/>
    </xf>
    <xf numFmtId="0" fontId="1" fillId="0" borderId="33" xfId="1" applyBorder="1"/>
    <xf numFmtId="0" fontId="1" fillId="0" borderId="34" xfId="1" applyBorder="1" applyAlignment="1">
      <alignment horizontal="center"/>
    </xf>
    <xf numFmtId="0" fontId="1" fillId="0" borderId="8" xfId="1" applyBorder="1" applyAlignment="1">
      <alignment horizontal="center"/>
    </xf>
    <xf numFmtId="0" fontId="1" fillId="0" borderId="17" xfId="1" applyFill="1" applyBorder="1"/>
    <xf numFmtId="0" fontId="1" fillId="0" borderId="20" xfId="1" applyBorder="1" applyAlignment="1">
      <alignment horizontal="center"/>
    </xf>
    <xf numFmtId="0" fontId="2" fillId="3" borderId="1" xfId="1" applyFont="1" applyFill="1" applyBorder="1" applyAlignment="1">
      <alignment horizontal="center"/>
    </xf>
    <xf numFmtId="0" fontId="2" fillId="3" borderId="2" xfId="1" applyFont="1" applyFill="1" applyBorder="1" applyAlignment="1">
      <alignment horizontal="center"/>
    </xf>
    <xf numFmtId="0" fontId="2" fillId="3" borderId="3" xfId="1" applyFont="1" applyFill="1" applyBorder="1" applyAlignment="1">
      <alignment horizontal="center"/>
    </xf>
    <xf numFmtId="0" fontId="4" fillId="4" borderId="14" xfId="1" applyFont="1" applyFill="1" applyBorder="1" applyAlignment="1">
      <alignment horizontal="center" vertical="center"/>
    </xf>
    <xf numFmtId="0" fontId="4" fillId="4" borderId="7" xfId="1" applyFont="1" applyFill="1" applyBorder="1" applyAlignment="1">
      <alignment horizontal="center" vertical="center"/>
    </xf>
    <xf numFmtId="0" fontId="1" fillId="0" borderId="5" xfId="1" applyBorder="1" applyAlignment="1">
      <alignment horizontal="center" vertical="center"/>
    </xf>
    <xf numFmtId="0" fontId="1" fillId="0" borderId="7" xfId="1" applyBorder="1" applyAlignment="1">
      <alignment horizontal="center" vertical="center"/>
    </xf>
    <xf numFmtId="0" fontId="1" fillId="0" borderId="8" xfId="1" applyBorder="1" applyAlignment="1">
      <alignment horizontal="center" vertical="center"/>
    </xf>
    <xf numFmtId="0" fontId="1" fillId="0" borderId="13" xfId="1" applyBorder="1" applyAlignment="1">
      <alignment horizontal="center" vertical="center"/>
    </xf>
    <xf numFmtId="0" fontId="1" fillId="0" borderId="14" xfId="1" applyBorder="1" applyAlignment="1">
      <alignment horizontal="center" vertical="center"/>
    </xf>
    <xf numFmtId="0" fontId="1" fillId="0" borderId="15" xfId="1" applyBorder="1" applyAlignment="1">
      <alignment horizontal="center" vertical="center"/>
    </xf>
    <xf numFmtId="0" fontId="1" fillId="0" borderId="0" xfId="1" applyAlignment="1">
      <alignment horizontal="center" vertical="center"/>
    </xf>
    <xf numFmtId="0" fontId="1" fillId="0" borderId="17" xfId="1" applyBorder="1" applyAlignment="1">
      <alignment horizontal="center" vertical="center"/>
    </xf>
    <xf numFmtId="0" fontId="1" fillId="0" borderId="19" xfId="1" applyBorder="1" applyAlignment="1">
      <alignment horizontal="center" vertical="center"/>
    </xf>
    <xf numFmtId="0" fontId="1" fillId="0" borderId="20" xfId="1" applyBorder="1" applyAlignment="1">
      <alignment horizontal="center" vertical="center"/>
    </xf>
    <xf numFmtId="0" fontId="1" fillId="0" borderId="21" xfId="1" applyBorder="1" applyAlignment="1">
      <alignment horizontal="center" vertical="center"/>
    </xf>
    <xf numFmtId="0" fontId="1" fillId="0" borderId="5" xfId="1" applyFill="1" applyBorder="1" applyAlignment="1">
      <alignment horizontal="center" vertical="center"/>
    </xf>
    <xf numFmtId="0" fontId="1" fillId="0" borderId="7" xfId="1" applyFill="1" applyBorder="1" applyAlignment="1">
      <alignment horizontal="center" vertical="center"/>
    </xf>
    <xf numFmtId="0" fontId="1" fillId="0" borderId="14" xfId="1" applyFill="1" applyBorder="1" applyAlignment="1">
      <alignment horizontal="center" vertical="center"/>
    </xf>
    <xf numFmtId="0" fontId="1" fillId="0" borderId="8" xfId="1" applyFill="1" applyBorder="1" applyAlignment="1">
      <alignment horizontal="center" vertical="center"/>
    </xf>
    <xf numFmtId="0" fontId="1" fillId="0" borderId="24" xfId="1" applyFill="1" applyBorder="1" applyAlignment="1">
      <alignment horizontal="center" vertical="center"/>
    </xf>
    <xf numFmtId="0" fontId="1" fillId="0" borderId="25" xfId="1" applyFill="1" applyBorder="1" applyAlignment="1">
      <alignment horizontal="center" vertical="center"/>
    </xf>
    <xf numFmtId="0" fontId="1" fillId="0" borderId="26" xfId="1" applyFill="1" applyBorder="1" applyAlignment="1">
      <alignment horizontal="center" vertical="center"/>
    </xf>
    <xf numFmtId="0" fontId="6" fillId="0" borderId="7" xfId="1" applyFont="1" applyFill="1" applyBorder="1" applyAlignment="1">
      <alignment horizontal="center" vertical="center"/>
    </xf>
    <xf numFmtId="0" fontId="1" fillId="0" borderId="13" xfId="1" applyFill="1" applyBorder="1" applyAlignment="1">
      <alignment horizontal="center" vertical="center"/>
    </xf>
    <xf numFmtId="0" fontId="1" fillId="0" borderId="25" xfId="1" applyBorder="1" applyAlignment="1">
      <alignment horizontal="center" vertical="center"/>
    </xf>
    <xf numFmtId="0" fontId="1" fillId="0" borderId="15" xfId="1" applyFill="1" applyBorder="1" applyAlignment="1">
      <alignment horizontal="center" vertical="center"/>
    </xf>
    <xf numFmtId="0" fontId="1" fillId="0" borderId="24" xfId="1" applyBorder="1" applyAlignment="1">
      <alignment horizontal="center" vertical="center"/>
    </xf>
    <xf numFmtId="0" fontId="1" fillId="0" borderId="26" xfId="1" applyBorder="1" applyAlignment="1">
      <alignment horizontal="center" vertical="center"/>
    </xf>
    <xf numFmtId="0" fontId="1" fillId="0" borderId="29" xfId="1" applyBorder="1" applyAlignment="1">
      <alignment horizontal="center" vertical="center"/>
    </xf>
    <xf numFmtId="0" fontId="1" fillId="0" borderId="31" xfId="1" applyBorder="1" applyAlignment="1">
      <alignment horizontal="center" vertical="center"/>
    </xf>
    <xf numFmtId="0" fontId="1" fillId="0" borderId="32" xfId="1" applyBorder="1" applyAlignment="1">
      <alignment horizontal="center" vertical="center"/>
    </xf>
    <xf numFmtId="0" fontId="1" fillId="0" borderId="33" xfId="1" applyBorder="1" applyAlignment="1">
      <alignment horizontal="center" vertical="center"/>
    </xf>
    <xf numFmtId="0" fontId="1" fillId="0" borderId="35" xfId="1" applyBorder="1" applyAlignment="1">
      <alignment horizontal="center" vertical="center"/>
    </xf>
    <xf numFmtId="0" fontId="1" fillId="0" borderId="36" xfId="1" applyBorder="1" applyAlignment="1">
      <alignment horizontal="center" vertical="center"/>
    </xf>
    <xf numFmtId="0" fontId="1" fillId="0" borderId="6" xfId="1" applyBorder="1" applyAlignment="1">
      <alignment horizontal="center" vertical="center"/>
    </xf>
    <xf numFmtId="0" fontId="1" fillId="0" borderId="18" xfId="1" applyBorder="1" applyAlignment="1">
      <alignment horizontal="center" vertical="center"/>
    </xf>
    <xf numFmtId="0" fontId="1" fillId="0" borderId="23" xfId="1" applyBorder="1" applyAlignment="1">
      <alignment horizontal="center" vertical="center"/>
    </xf>
    <xf numFmtId="164" fontId="0" fillId="0" borderId="0" xfId="0" applyNumberFormat="1" applyAlignment="1">
      <alignment horizontal="center"/>
    </xf>
    <xf numFmtId="0" fontId="0" fillId="0" borderId="29" xfId="1" applyFont="1" applyBorder="1"/>
    <xf numFmtId="0" fontId="4" fillId="4" borderId="19" xfId="1" applyFont="1" applyFill="1" applyBorder="1" applyAlignment="1">
      <alignment horizontal="center" vertical="center"/>
    </xf>
    <xf numFmtId="0" fontId="1" fillId="0" borderId="39" xfId="1" applyBorder="1" applyAlignment="1">
      <alignment horizontal="center" vertical="center"/>
    </xf>
    <xf numFmtId="0" fontId="4" fillId="4" borderId="39" xfId="1" applyFont="1" applyFill="1" applyBorder="1" applyAlignment="1">
      <alignment horizontal="center" vertical="center"/>
    </xf>
    <xf numFmtId="0" fontId="1" fillId="0" borderId="40" xfId="1" applyBorder="1" applyAlignment="1">
      <alignment horizontal="center" vertical="center"/>
    </xf>
    <xf numFmtId="0" fontId="4" fillId="0" borderId="14" xfId="1" applyFont="1" applyFill="1" applyBorder="1" applyAlignment="1">
      <alignment horizontal="center" vertical="center"/>
    </xf>
    <xf numFmtId="0" fontId="13" fillId="0" borderId="6" xfId="1" applyFont="1" applyFill="1" applyBorder="1" applyAlignment="1">
      <alignment horizontal="center" vertical="center"/>
    </xf>
    <xf numFmtId="0" fontId="11" fillId="0" borderId="27" xfId="2" applyFill="1" applyBorder="1" applyAlignment="1">
      <alignment vertical="center"/>
    </xf>
    <xf numFmtId="0" fontId="0" fillId="0" borderId="15" xfId="1" applyFont="1" applyFill="1" applyBorder="1" applyAlignment="1">
      <alignment horizontal="center" vertical="center"/>
    </xf>
    <xf numFmtId="0" fontId="4" fillId="4" borderId="25" xfId="1" applyFont="1" applyFill="1" applyBorder="1" applyAlignment="1">
      <alignment horizontal="center" vertical="center"/>
    </xf>
    <xf numFmtId="0" fontId="0" fillId="0" borderId="7" xfId="0" applyBorder="1"/>
    <xf numFmtId="0" fontId="11" fillId="10" borderId="14" xfId="2" applyFill="1" applyBorder="1" applyAlignment="1">
      <alignment horizontal="center" vertical="center"/>
    </xf>
    <xf numFmtId="0" fontId="5" fillId="10" borderId="18" xfId="1" applyFont="1" applyFill="1" applyBorder="1" applyAlignment="1">
      <alignment horizontal="center" vertical="center"/>
    </xf>
    <xf numFmtId="0" fontId="5" fillId="10" borderId="23" xfId="1" applyFont="1" applyFill="1" applyBorder="1" applyAlignment="1">
      <alignment horizontal="center" vertical="center"/>
    </xf>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NumberFormat="1"/>
    <xf numFmtId="0" fontId="0" fillId="0" borderId="0" xfId="0" applyAlignment="1">
      <alignment wrapText="1"/>
    </xf>
    <xf numFmtId="0" fontId="0" fillId="0" borderId="0" xfId="0" applyAlignment="1">
      <alignment horizontal="center"/>
    </xf>
    <xf numFmtId="0" fontId="2" fillId="10" borderId="0" xfId="0" applyFont="1" applyFill="1"/>
    <xf numFmtId="164" fontId="2" fillId="10" borderId="0" xfId="0" applyNumberFormat="1" applyFont="1" applyFill="1" applyAlignment="1">
      <alignment horizontal="center"/>
    </xf>
    <xf numFmtId="0" fontId="0" fillId="10" borderId="0" xfId="0" applyFill="1"/>
    <xf numFmtId="0" fontId="0" fillId="10" borderId="0" xfId="0" applyFill="1" applyAlignment="1">
      <alignment horizontal="center"/>
    </xf>
    <xf numFmtId="0" fontId="0" fillId="0" borderId="0" xfId="0" applyBorder="1" applyAlignment="1">
      <alignment horizontal="center" vertical="center"/>
    </xf>
    <xf numFmtId="0" fontId="0" fillId="0" borderId="0" xfId="0" applyBorder="1" applyAlignment="1">
      <alignment vertical="center"/>
    </xf>
    <xf numFmtId="14" fontId="0" fillId="0" borderId="0" xfId="0" applyNumberFormat="1" applyBorder="1" applyAlignment="1">
      <alignment horizontal="center" vertical="center"/>
    </xf>
    <xf numFmtId="0" fontId="0" fillId="0" borderId="0" xfId="0" applyBorder="1" applyAlignment="1">
      <alignment horizontal="center" vertical="center" wrapText="1"/>
    </xf>
    <xf numFmtId="0" fontId="13" fillId="0" borderId="23" xfId="1" applyFont="1" applyFill="1" applyBorder="1" applyAlignment="1">
      <alignment vertical="center"/>
    </xf>
    <xf numFmtId="0" fontId="15" fillId="0" borderId="0" xfId="0" applyFont="1"/>
    <xf numFmtId="3" fontId="0" fillId="0" borderId="0" xfId="0" applyNumberFormat="1"/>
    <xf numFmtId="0" fontId="18" fillId="13" borderId="0" xfId="0" applyFont="1" applyFill="1" applyBorder="1" applyAlignment="1">
      <alignment horizontal="center" vertical="center"/>
    </xf>
    <xf numFmtId="0" fontId="18" fillId="13" borderId="0" xfId="0" applyFont="1" applyFill="1" applyBorder="1" applyAlignment="1">
      <alignment vertical="center"/>
    </xf>
    <xf numFmtId="0" fontId="0" fillId="0" borderId="0" xfId="0" applyAlignment="1">
      <alignment horizontal="center" vertical="center"/>
    </xf>
    <xf numFmtId="0" fontId="0" fillId="0" borderId="0" xfId="0" applyAlignment="1">
      <alignment vertical="center"/>
    </xf>
    <xf numFmtId="14" fontId="0" fillId="0" borderId="0" xfId="0" applyNumberFormat="1" applyAlignment="1">
      <alignment horizontal="center" vertical="center"/>
    </xf>
    <xf numFmtId="0" fontId="0" fillId="0" borderId="0" xfId="0" applyAlignment="1">
      <alignment horizontal="center" vertical="center" wrapText="1"/>
    </xf>
    <xf numFmtId="0" fontId="0" fillId="10" borderId="0" xfId="0" applyNumberFormat="1" applyFill="1" applyAlignment="1">
      <alignment horizontal="center"/>
    </xf>
    <xf numFmtId="0" fontId="18" fillId="13" borderId="0" xfId="0" applyNumberFormat="1" applyFont="1" applyFill="1" applyBorder="1" applyAlignment="1">
      <alignment horizontal="center" vertical="center"/>
    </xf>
    <xf numFmtId="0" fontId="0" fillId="0" borderId="0" xfId="0" applyNumberFormat="1" applyAlignment="1">
      <alignment horizontal="center"/>
    </xf>
    <xf numFmtId="0" fontId="13" fillId="0" borderId="12" xfId="1" applyFont="1" applyBorder="1"/>
    <xf numFmtId="0" fontId="13" fillId="0" borderId="14" xfId="1" applyFont="1" applyBorder="1" applyAlignment="1">
      <alignment horizontal="center"/>
    </xf>
    <xf numFmtId="0" fontId="13" fillId="0" borderId="11" xfId="1" applyFont="1" applyBorder="1" applyAlignment="1">
      <alignment horizontal="center"/>
    </xf>
    <xf numFmtId="0" fontId="13" fillId="0" borderId="12" xfId="1" applyFont="1" applyFill="1" applyBorder="1"/>
    <xf numFmtId="0" fontId="13" fillId="0" borderId="50" xfId="1" applyFont="1" applyBorder="1"/>
    <xf numFmtId="0" fontId="13" fillId="0" borderId="35" xfId="1" applyFont="1" applyBorder="1" applyAlignment="1">
      <alignment horizontal="center"/>
    </xf>
    <xf numFmtId="0" fontId="13" fillId="0" borderId="34" xfId="1" applyFont="1" applyBorder="1" applyAlignment="1">
      <alignment horizontal="center"/>
    </xf>
    <xf numFmtId="0" fontId="0" fillId="13" borderId="28" xfId="0" applyFill="1" applyBorder="1" applyAlignment="1">
      <alignment vertical="center"/>
    </xf>
    <xf numFmtId="0" fontId="0" fillId="13" borderId="25" xfId="0" applyFill="1" applyBorder="1" applyAlignment="1">
      <alignment vertical="center"/>
    </xf>
    <xf numFmtId="0" fontId="0" fillId="13" borderId="27" xfId="0" applyFill="1" applyBorder="1" applyAlignment="1">
      <alignment vertical="center"/>
    </xf>
    <xf numFmtId="0" fontId="0" fillId="0" borderId="53" xfId="0" applyBorder="1"/>
    <xf numFmtId="0" fontId="0" fillId="0" borderId="0" xfId="0" applyBorder="1"/>
    <xf numFmtId="0" fontId="0" fillId="0" borderId="54" xfId="0" applyBorder="1"/>
    <xf numFmtId="0" fontId="0" fillId="0" borderId="0" xfId="0" applyFill="1" applyBorder="1"/>
    <xf numFmtId="0" fontId="13" fillId="0" borderId="56" xfId="1" applyFont="1" applyBorder="1" applyAlignment="1">
      <alignment horizontal="center" vertical="center"/>
    </xf>
    <xf numFmtId="0" fontId="13" fillId="0" borderId="56" xfId="1" applyFont="1" applyFill="1" applyBorder="1" applyAlignment="1">
      <alignment horizontal="center" vertical="center"/>
    </xf>
    <xf numFmtId="0" fontId="13" fillId="0" borderId="56" xfId="2" applyFont="1" applyFill="1" applyBorder="1" applyAlignment="1">
      <alignment horizontal="center" vertical="center"/>
    </xf>
    <xf numFmtId="0" fontId="13" fillId="4" borderId="56" xfId="1" applyFont="1" applyFill="1" applyBorder="1" applyAlignment="1">
      <alignment horizontal="center" vertical="center"/>
    </xf>
    <xf numFmtId="0" fontId="2" fillId="3" borderId="58" xfId="1" applyFont="1" applyFill="1" applyBorder="1" applyAlignment="1">
      <alignment horizontal="center"/>
    </xf>
    <xf numFmtId="0" fontId="2" fillId="3" borderId="59" xfId="1" applyFont="1" applyFill="1" applyBorder="1" applyAlignment="1">
      <alignment horizontal="center"/>
    </xf>
    <xf numFmtId="0" fontId="2" fillId="3" borderId="55" xfId="1" applyFont="1" applyFill="1" applyBorder="1" applyAlignment="1">
      <alignment horizontal="center"/>
    </xf>
    <xf numFmtId="0" fontId="7" fillId="0" borderId="49" xfId="1" applyFont="1" applyBorder="1" applyAlignment="1">
      <alignment horizontal="center"/>
    </xf>
    <xf numFmtId="0" fontId="7" fillId="0" borderId="42" xfId="1" applyFont="1" applyBorder="1" applyAlignment="1">
      <alignment horizontal="center"/>
    </xf>
    <xf numFmtId="0" fontId="7" fillId="0" borderId="43" xfId="1" applyFont="1" applyBorder="1" applyAlignment="1">
      <alignment horizontal="center"/>
    </xf>
    <xf numFmtId="0" fontId="8" fillId="0" borderId="48" xfId="1" applyFont="1" applyBorder="1" applyAlignment="1">
      <alignment horizontal="center"/>
    </xf>
    <xf numFmtId="0" fontId="8" fillId="0" borderId="9" xfId="1" applyFont="1" applyBorder="1" applyAlignment="1">
      <alignment horizontal="center"/>
    </xf>
    <xf numFmtId="0" fontId="8" fillId="0" borderId="44" xfId="1" applyFont="1" applyBorder="1" applyAlignment="1">
      <alignment horizontal="center"/>
    </xf>
    <xf numFmtId="0" fontId="8" fillId="0" borderId="37" xfId="1" applyFont="1" applyBorder="1" applyAlignment="1">
      <alignment horizontal="center"/>
    </xf>
    <xf numFmtId="0" fontId="8" fillId="0" borderId="16" xfId="1" applyFont="1" applyBorder="1" applyAlignment="1">
      <alignment horizontal="center"/>
    </xf>
    <xf numFmtId="0" fontId="8" fillId="0" borderId="38" xfId="1" applyFont="1" applyBorder="1" applyAlignment="1">
      <alignment horizontal="center"/>
    </xf>
    <xf numFmtId="0" fontId="8" fillId="0" borderId="17" xfId="1" applyFont="1" applyBorder="1" applyAlignment="1">
      <alignment horizontal="center"/>
    </xf>
    <xf numFmtId="0" fontId="8" fillId="0" borderId="19" xfId="1" applyFont="1" applyBorder="1" applyAlignment="1">
      <alignment horizontal="center"/>
    </xf>
    <xf numFmtId="0" fontId="8" fillId="0" borderId="20" xfId="1" applyFont="1" applyBorder="1" applyAlignment="1">
      <alignment horizontal="center"/>
    </xf>
    <xf numFmtId="0" fontId="13" fillId="10" borderId="56" xfId="2" applyFont="1" applyFill="1" applyBorder="1" applyAlignment="1">
      <alignment horizontal="center" vertical="center"/>
    </xf>
    <xf numFmtId="0" fontId="0" fillId="0" borderId="56" xfId="0" applyBorder="1" applyAlignment="1">
      <alignment horizontal="center"/>
    </xf>
    <xf numFmtId="0" fontId="0" fillId="0" borderId="5" xfId="1" applyFont="1" applyBorder="1" applyAlignment="1">
      <alignment horizontal="center"/>
    </xf>
    <xf numFmtId="0" fontId="13" fillId="0" borderId="7" xfId="1" applyFont="1" applyBorder="1" applyAlignment="1">
      <alignment horizontal="center" vertical="center"/>
    </xf>
    <xf numFmtId="0" fontId="13" fillId="0" borderId="7" xfId="1" applyFont="1" applyFill="1" applyBorder="1" applyAlignment="1">
      <alignment horizontal="center" vertical="center"/>
    </xf>
    <xf numFmtId="0" fontId="13" fillId="17" borderId="7" xfId="1" applyFont="1" applyFill="1" applyBorder="1" applyAlignment="1">
      <alignment horizontal="center" vertical="center"/>
    </xf>
    <xf numFmtId="0" fontId="13" fillId="0" borderId="7" xfId="0" applyFont="1" applyFill="1" applyBorder="1" applyAlignment="1">
      <alignment horizontal="center" vertical="center"/>
    </xf>
    <xf numFmtId="0" fontId="13" fillId="0" borderId="8" xfId="1" applyFont="1" applyBorder="1" applyAlignment="1">
      <alignment horizontal="center" vertical="center"/>
    </xf>
    <xf numFmtId="0" fontId="1" fillId="0" borderId="13" xfId="1" applyBorder="1" applyAlignment="1">
      <alignment horizontal="center"/>
    </xf>
    <xf numFmtId="0" fontId="13" fillId="0" borderId="15" xfId="1" applyFont="1" applyBorder="1" applyAlignment="1">
      <alignment horizontal="center" vertical="center"/>
    </xf>
    <xf numFmtId="0" fontId="1" fillId="0" borderId="17" xfId="1" applyBorder="1" applyAlignment="1">
      <alignment horizontal="center"/>
    </xf>
    <xf numFmtId="0" fontId="13" fillId="0" borderId="19" xfId="1" applyFont="1" applyBorder="1" applyAlignment="1">
      <alignment horizontal="center" vertical="center"/>
    </xf>
    <xf numFmtId="0" fontId="13" fillId="0" borderId="19" xfId="1" applyFont="1" applyFill="1" applyBorder="1" applyAlignment="1">
      <alignment horizontal="center" vertical="center"/>
    </xf>
    <xf numFmtId="0" fontId="13" fillId="0" borderId="20" xfId="1" applyFont="1" applyBorder="1" applyAlignment="1">
      <alignment horizontal="center" vertical="center"/>
    </xf>
    <xf numFmtId="0" fontId="0" fillId="0" borderId="5" xfId="0" applyBorder="1" applyAlignment="1">
      <alignment horizontal="center"/>
    </xf>
    <xf numFmtId="0" fontId="0" fillId="0" borderId="60" xfId="0" applyBorder="1" applyAlignment="1">
      <alignment horizontal="center"/>
    </xf>
    <xf numFmtId="0" fontId="13" fillId="0" borderId="15" xfId="1" applyFont="1" applyFill="1" applyBorder="1" applyAlignment="1">
      <alignment horizontal="center" vertical="center"/>
    </xf>
    <xf numFmtId="0" fontId="1" fillId="0" borderId="5" xfId="1" applyFont="1" applyBorder="1" applyAlignment="1">
      <alignment horizontal="center"/>
    </xf>
    <xf numFmtId="0" fontId="13" fillId="0" borderId="8" xfId="1" applyFont="1" applyFill="1" applyBorder="1" applyAlignment="1">
      <alignment horizontal="center" vertical="center"/>
    </xf>
    <xf numFmtId="0" fontId="1" fillId="0" borderId="5" xfId="1" applyBorder="1" applyAlignment="1">
      <alignment horizontal="center"/>
    </xf>
    <xf numFmtId="0" fontId="13" fillId="4" borderId="7" xfId="1" applyFont="1" applyFill="1" applyBorder="1" applyAlignment="1">
      <alignment horizontal="center" vertical="center"/>
    </xf>
    <xf numFmtId="0" fontId="13" fillId="4" borderId="19" xfId="1" applyFont="1" applyFill="1" applyBorder="1" applyAlignment="1">
      <alignment horizontal="center" vertical="center"/>
    </xf>
    <xf numFmtId="0" fontId="1" fillId="0" borderId="29" xfId="1" applyBorder="1" applyAlignment="1">
      <alignment horizontal="center"/>
    </xf>
    <xf numFmtId="0" fontId="13" fillId="0" borderId="31" xfId="1" applyFont="1" applyBorder="1" applyAlignment="1">
      <alignment horizontal="center" vertical="center"/>
    </xf>
    <xf numFmtId="0" fontId="13" fillId="0" borderId="32" xfId="1" applyFont="1" applyBorder="1" applyAlignment="1">
      <alignment horizontal="center" vertical="center"/>
    </xf>
    <xf numFmtId="0" fontId="0" fillId="0" borderId="29" xfId="1" applyFont="1" applyBorder="1" applyAlignment="1">
      <alignment horizontal="center"/>
    </xf>
    <xf numFmtId="0" fontId="13" fillId="0" borderId="7" xfId="2" applyFont="1" applyFill="1" applyBorder="1" applyAlignment="1">
      <alignment horizontal="center" vertical="center"/>
    </xf>
    <xf numFmtId="0" fontId="13" fillId="19" borderId="19" xfId="1" applyFont="1" applyFill="1" applyBorder="1" applyAlignment="1">
      <alignment horizontal="center" vertical="center"/>
    </xf>
    <xf numFmtId="0" fontId="1" fillId="0" borderId="5" xfId="1" applyFill="1" applyBorder="1" applyAlignment="1">
      <alignment horizontal="center"/>
    </xf>
    <xf numFmtId="0" fontId="1" fillId="0" borderId="17" xfId="1" applyFill="1" applyBorder="1" applyAlignment="1">
      <alignment horizontal="center"/>
    </xf>
    <xf numFmtId="0" fontId="0" fillId="0" borderId="5" xfId="1" applyFont="1" applyFill="1" applyBorder="1" applyAlignment="1">
      <alignment horizontal="center"/>
    </xf>
    <xf numFmtId="0" fontId="0" fillId="0" borderId="13" xfId="1" applyFont="1" applyFill="1" applyBorder="1" applyAlignment="1">
      <alignment horizontal="center"/>
    </xf>
    <xf numFmtId="0" fontId="0" fillId="0" borderId="17" xfId="1" applyFont="1" applyFill="1" applyBorder="1" applyAlignment="1">
      <alignment horizontal="center"/>
    </xf>
    <xf numFmtId="0" fontId="0" fillId="0" borderId="29" xfId="1" applyFont="1" applyFill="1" applyBorder="1" applyAlignment="1">
      <alignment horizontal="center"/>
    </xf>
    <xf numFmtId="0" fontId="2" fillId="3" borderId="64" xfId="1" applyFont="1" applyFill="1" applyBorder="1" applyAlignment="1">
      <alignment horizontal="center"/>
    </xf>
    <xf numFmtId="0" fontId="13" fillId="0" borderId="5" xfId="1" applyFont="1" applyBorder="1" applyAlignment="1">
      <alignment horizontal="center" vertical="center"/>
    </xf>
    <xf numFmtId="0" fontId="13" fillId="0" borderId="13" xfId="1" applyFont="1" applyBorder="1" applyAlignment="1">
      <alignment horizontal="center" vertical="center"/>
    </xf>
    <xf numFmtId="0" fontId="13" fillId="0" borderId="17" xfId="1" applyFont="1" applyBorder="1" applyAlignment="1">
      <alignment horizontal="center" vertical="center"/>
    </xf>
    <xf numFmtId="0" fontId="13" fillId="0" borderId="13" xfId="1" applyFont="1" applyFill="1" applyBorder="1" applyAlignment="1">
      <alignment horizontal="center" vertical="center"/>
    </xf>
    <xf numFmtId="0" fontId="13" fillId="0" borderId="15" xfId="2" applyFont="1" applyFill="1" applyBorder="1" applyAlignment="1">
      <alignment horizontal="center" vertical="center"/>
    </xf>
    <xf numFmtId="0" fontId="13" fillId="0" borderId="5" xfId="1" applyFont="1" applyFill="1" applyBorder="1" applyAlignment="1">
      <alignment horizontal="center" vertical="center"/>
    </xf>
    <xf numFmtId="0" fontId="13" fillId="0" borderId="29" xfId="1" applyFont="1" applyBorder="1" applyAlignment="1">
      <alignment horizontal="center" vertical="center"/>
    </xf>
    <xf numFmtId="0" fontId="2" fillId="3" borderId="63" xfId="1" applyFont="1" applyFill="1" applyBorder="1" applyAlignment="1">
      <alignment horizontal="center"/>
    </xf>
    <xf numFmtId="0" fontId="13" fillId="0" borderId="13" xfId="2" applyFont="1" applyFill="1" applyBorder="1" applyAlignment="1">
      <alignment horizontal="center" vertical="center"/>
    </xf>
    <xf numFmtId="0" fontId="13" fillId="0" borderId="17" xfId="1" applyFont="1" applyFill="1" applyBorder="1" applyAlignment="1">
      <alignment horizontal="center" vertical="center"/>
    </xf>
    <xf numFmtId="0" fontId="13" fillId="4" borderId="17" xfId="1" applyFont="1" applyFill="1" applyBorder="1" applyAlignment="1">
      <alignment horizontal="center" vertical="center"/>
    </xf>
    <xf numFmtId="0" fontId="13" fillId="19" borderId="20" xfId="1" applyFont="1" applyFill="1" applyBorder="1" applyAlignment="1">
      <alignment horizontal="center" vertical="center"/>
    </xf>
    <xf numFmtId="0" fontId="13" fillId="15" borderId="13" xfId="1" applyFont="1" applyFill="1" applyBorder="1" applyAlignment="1">
      <alignment horizontal="center" vertical="center"/>
    </xf>
    <xf numFmtId="0" fontId="0" fillId="0" borderId="13" xfId="0" applyBorder="1" applyAlignment="1">
      <alignment horizontal="center"/>
    </xf>
    <xf numFmtId="0" fontId="0" fillId="0" borderId="17" xfId="0" applyBorder="1" applyAlignment="1">
      <alignment horizontal="center"/>
    </xf>
    <xf numFmtId="0" fontId="13" fillId="0" borderId="7" xfId="0" applyFont="1" applyBorder="1" applyAlignment="1">
      <alignment horizontal="center"/>
    </xf>
    <xf numFmtId="0" fontId="13" fillId="0" borderId="56" xfId="0" applyFont="1" applyBorder="1" applyAlignment="1">
      <alignment horizontal="center"/>
    </xf>
    <xf numFmtId="0" fontId="0" fillId="0" borderId="7" xfId="0" applyBorder="1" applyAlignment="1">
      <alignment horizontal="center"/>
    </xf>
    <xf numFmtId="0" fontId="0" fillId="0" borderId="8" xfId="0" applyBorder="1" applyAlignment="1">
      <alignment horizontal="center"/>
    </xf>
    <xf numFmtId="0" fontId="0" fillId="17" borderId="7" xfId="0" applyFill="1" applyBorder="1" applyAlignment="1">
      <alignment horizontal="center"/>
    </xf>
    <xf numFmtId="0" fontId="13" fillId="0" borderId="19" xfId="2" applyFont="1" applyFill="1" applyBorder="1" applyAlignment="1">
      <alignment horizontal="center" vertical="center"/>
    </xf>
    <xf numFmtId="0" fontId="13" fillId="0" borderId="20" xfId="2" applyFont="1" applyFill="1" applyBorder="1" applyAlignment="1">
      <alignment horizontal="center" vertical="center"/>
    </xf>
    <xf numFmtId="0" fontId="13" fillId="0" borderId="19" xfId="0" applyFont="1" applyBorder="1" applyAlignment="1">
      <alignment horizontal="center"/>
    </xf>
    <xf numFmtId="0" fontId="0" fillId="0" borderId="15"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56" xfId="0" applyFill="1" applyBorder="1" applyAlignment="1">
      <alignment horizontal="center"/>
    </xf>
    <xf numFmtId="0" fontId="17" fillId="12" borderId="47" xfId="1" applyFont="1" applyFill="1" applyBorder="1" applyAlignment="1">
      <alignment horizontal="left" wrapText="1"/>
    </xf>
    <xf numFmtId="0" fontId="17" fillId="5" borderId="16" xfId="1" applyFont="1" applyFill="1" applyBorder="1" applyAlignment="1">
      <alignment horizontal="left" wrapText="1"/>
    </xf>
    <xf numFmtId="0" fontId="7" fillId="0" borderId="42" xfId="1" applyFont="1" applyBorder="1" applyAlignment="1">
      <alignment horizontal="center"/>
    </xf>
    <xf numFmtId="0" fontId="16" fillId="14" borderId="51" xfId="0" applyFont="1" applyFill="1" applyBorder="1" applyAlignment="1">
      <alignment horizontal="center"/>
    </xf>
    <xf numFmtId="0" fontId="17" fillId="11" borderId="16" xfId="1" applyFont="1" applyFill="1" applyBorder="1" applyAlignment="1">
      <alignment horizontal="left" wrapText="1"/>
    </xf>
    <xf numFmtId="0" fontId="17" fillId="8" borderId="22" xfId="1" applyFont="1" applyFill="1" applyBorder="1" applyAlignment="1">
      <alignment horizontal="left" wrapText="1"/>
    </xf>
    <xf numFmtId="0" fontId="13" fillId="17" borderId="19" xfId="1" applyFont="1" applyFill="1" applyBorder="1" applyAlignment="1">
      <alignment horizontal="center" vertical="center"/>
    </xf>
    <xf numFmtId="0" fontId="13" fillId="19" borderId="56" xfId="1" applyFont="1" applyFill="1" applyBorder="1" applyAlignment="1">
      <alignment horizontal="center" vertical="center"/>
    </xf>
    <xf numFmtId="0" fontId="13" fillId="19" borderId="7" xfId="1" applyFont="1" applyFill="1" applyBorder="1" applyAlignment="1">
      <alignment horizontal="center" vertical="center"/>
    </xf>
    <xf numFmtId="0" fontId="17" fillId="3" borderId="16" xfId="1" applyFont="1" applyFill="1" applyBorder="1" applyAlignment="1">
      <alignment horizontal="left" wrapText="1"/>
    </xf>
    <xf numFmtId="0" fontId="13" fillId="0" borderId="56" xfId="1" applyNumberFormat="1" applyFont="1" applyBorder="1" applyAlignment="1">
      <alignment horizontal="center"/>
    </xf>
    <xf numFmtId="0" fontId="1" fillId="0" borderId="56" xfId="1" applyBorder="1" applyAlignment="1">
      <alignment horizontal="center"/>
    </xf>
    <xf numFmtId="0" fontId="13" fillId="17" borderId="56" xfId="1" applyFont="1" applyFill="1" applyBorder="1" applyAlignment="1">
      <alignment horizontal="center" vertical="center"/>
    </xf>
    <xf numFmtId="0" fontId="1" fillId="0" borderId="56" xfId="1" applyFont="1" applyBorder="1" applyAlignment="1">
      <alignment horizontal="center"/>
    </xf>
    <xf numFmtId="0" fontId="16" fillId="14" borderId="65" xfId="0" applyFont="1" applyFill="1" applyBorder="1" applyAlignment="1">
      <alignment horizontal="center"/>
    </xf>
    <xf numFmtId="0" fontId="13" fillId="0" borderId="52" xfId="1" applyNumberFormat="1" applyFont="1" applyBorder="1" applyAlignment="1">
      <alignment horizontal="center"/>
    </xf>
    <xf numFmtId="0" fontId="1" fillId="0" borderId="7" xfId="1" applyBorder="1" applyAlignment="1">
      <alignment horizontal="center"/>
    </xf>
    <xf numFmtId="0" fontId="13" fillId="0" borderId="7" xfId="1" applyNumberFormat="1" applyFont="1" applyBorder="1" applyAlignment="1">
      <alignment horizontal="center"/>
    </xf>
    <xf numFmtId="0" fontId="13" fillId="0" borderId="60" xfId="1" applyNumberFormat="1" applyFont="1" applyBorder="1" applyAlignment="1">
      <alignment horizontal="center"/>
    </xf>
    <xf numFmtId="0" fontId="1" fillId="0" borderId="19" xfId="1" applyBorder="1" applyAlignment="1">
      <alignment horizontal="center"/>
    </xf>
    <xf numFmtId="0" fontId="13" fillId="0" borderId="19" xfId="1" applyNumberFormat="1" applyFont="1" applyBorder="1" applyAlignment="1">
      <alignment horizontal="center"/>
    </xf>
    <xf numFmtId="0" fontId="13" fillId="0" borderId="61" xfId="1" applyNumberFormat="1" applyFont="1" applyBorder="1" applyAlignment="1">
      <alignment horizontal="center"/>
    </xf>
    <xf numFmtId="0" fontId="1" fillId="0" borderId="7" xfId="1" applyFont="1" applyBorder="1" applyAlignment="1">
      <alignment horizontal="center"/>
    </xf>
    <xf numFmtId="0" fontId="1" fillId="0" borderId="19" xfId="1" applyFont="1" applyBorder="1" applyAlignment="1">
      <alignment horizontal="center"/>
    </xf>
    <xf numFmtId="0" fontId="1" fillId="0" borderId="31" xfId="1" applyBorder="1" applyAlignment="1">
      <alignment horizontal="center"/>
    </xf>
    <xf numFmtId="0" fontId="13" fillId="0" borderId="31" xfId="1" applyNumberFormat="1" applyFont="1" applyBorder="1" applyAlignment="1">
      <alignment horizontal="center"/>
    </xf>
    <xf numFmtId="0" fontId="13" fillId="0" borderId="62" xfId="1" applyNumberFormat="1" applyFont="1" applyBorder="1" applyAlignment="1">
      <alignment horizontal="center"/>
    </xf>
    <xf numFmtId="0" fontId="0" fillId="0" borderId="31" xfId="1" applyFont="1" applyBorder="1" applyAlignment="1">
      <alignment horizontal="center"/>
    </xf>
    <xf numFmtId="0" fontId="13" fillId="0" borderId="31" xfId="1" applyFont="1" applyFill="1" applyBorder="1" applyAlignment="1">
      <alignment horizontal="center" vertical="center"/>
    </xf>
    <xf numFmtId="0" fontId="13" fillId="0" borderId="32" xfId="1" applyFont="1" applyFill="1" applyBorder="1" applyAlignment="1">
      <alignment horizontal="center" vertical="center"/>
    </xf>
    <xf numFmtId="0" fontId="13" fillId="0" borderId="20" xfId="1" applyFont="1" applyFill="1" applyBorder="1" applyAlignment="1">
      <alignment horizontal="center" vertical="center"/>
    </xf>
    <xf numFmtId="0" fontId="13" fillId="0" borderId="17" xfId="2" applyFont="1" applyFill="1" applyBorder="1" applyAlignment="1">
      <alignment horizontal="center" vertical="center"/>
    </xf>
    <xf numFmtId="0" fontId="16" fillId="14" borderId="65" xfId="1" applyFont="1" applyFill="1" applyBorder="1" applyAlignment="1">
      <alignment horizontal="center"/>
    </xf>
    <xf numFmtId="0" fontId="13" fillId="16" borderId="7" xfId="2" applyFont="1" applyFill="1" applyBorder="1" applyAlignment="1">
      <alignment horizontal="center" vertical="center"/>
    </xf>
    <xf numFmtId="0" fontId="13" fillId="3" borderId="56" xfId="1" applyFont="1" applyFill="1" applyBorder="1" applyAlignment="1">
      <alignment horizontal="center" vertical="center"/>
    </xf>
    <xf numFmtId="0" fontId="13" fillId="15" borderId="7" xfId="2" applyFont="1" applyFill="1" applyBorder="1" applyAlignment="1">
      <alignment horizontal="center" vertical="center"/>
    </xf>
    <xf numFmtId="0" fontId="13" fillId="16" borderId="56" xfId="1" applyFont="1" applyFill="1" applyBorder="1" applyAlignment="1">
      <alignment horizontal="center" vertical="center"/>
    </xf>
    <xf numFmtId="0" fontId="13" fillId="18" borderId="56" xfId="1" applyFont="1" applyFill="1" applyBorder="1" applyAlignment="1">
      <alignment horizontal="center" vertical="center"/>
    </xf>
    <xf numFmtId="0" fontId="13" fillId="16" borderId="19" xfId="1" applyFont="1" applyFill="1" applyBorder="1" applyAlignment="1">
      <alignment horizontal="center" vertical="center"/>
    </xf>
    <xf numFmtId="0" fontId="13" fillId="16" borderId="56" xfId="2" applyFont="1" applyFill="1" applyBorder="1" applyAlignment="1">
      <alignment horizontal="center" vertical="center"/>
    </xf>
    <xf numFmtId="0" fontId="13" fillId="19" borderId="56" xfId="1" applyFont="1" applyFill="1" applyBorder="1" applyAlignment="1">
      <alignment horizontal="center" vertical="center"/>
    </xf>
    <xf numFmtId="0" fontId="13" fillId="15" borderId="56" xfId="1" applyFont="1" applyFill="1" applyBorder="1" applyAlignment="1">
      <alignment horizontal="center" vertical="center"/>
    </xf>
    <xf numFmtId="0" fontId="13" fillId="8" borderId="19" xfId="1" applyFont="1" applyFill="1" applyBorder="1" applyAlignment="1">
      <alignment horizontal="center" vertical="center"/>
    </xf>
    <xf numFmtId="0" fontId="7" fillId="0" borderId="49" xfId="1" applyFont="1" applyBorder="1" applyAlignment="1">
      <alignment horizontal="center"/>
    </xf>
    <xf numFmtId="0" fontId="7" fillId="0" borderId="43" xfId="1" applyFont="1" applyBorder="1" applyAlignment="1">
      <alignment horizontal="center"/>
    </xf>
    <xf numFmtId="0" fontId="17" fillId="12" borderId="46" xfId="1" applyFont="1" applyFill="1" applyBorder="1" applyAlignment="1">
      <alignment horizontal="left" wrapText="1"/>
    </xf>
    <xf numFmtId="0" fontId="17" fillId="12" borderId="47" xfId="1" applyFont="1" applyFill="1" applyBorder="1" applyAlignment="1">
      <alignment horizontal="left" wrapText="1"/>
    </xf>
    <xf numFmtId="0" fontId="17" fillId="5" borderId="37" xfId="1" applyFont="1" applyFill="1" applyBorder="1" applyAlignment="1">
      <alignment horizontal="left" wrapText="1"/>
    </xf>
    <xf numFmtId="0" fontId="17" fillId="5" borderId="16" xfId="1" applyFont="1" applyFill="1" applyBorder="1" applyAlignment="1">
      <alignment horizontal="left" wrapText="1"/>
    </xf>
    <xf numFmtId="0" fontId="13" fillId="9" borderId="56" xfId="2" applyFont="1" applyFill="1" applyBorder="1" applyAlignment="1">
      <alignment horizontal="center" vertical="center"/>
    </xf>
    <xf numFmtId="0" fontId="8" fillId="0" borderId="48" xfId="1" applyFont="1" applyBorder="1" applyAlignment="1">
      <alignment horizontal="center"/>
    </xf>
    <xf numFmtId="0" fontId="8" fillId="0" borderId="9" xfId="1" applyFont="1" applyBorder="1" applyAlignment="1">
      <alignment horizontal="center"/>
    </xf>
    <xf numFmtId="0" fontId="8" fillId="0" borderId="44" xfId="1" applyFont="1" applyBorder="1" applyAlignment="1">
      <alignment horizontal="center"/>
    </xf>
    <xf numFmtId="0" fontId="8" fillId="0" borderId="37" xfId="1" applyFont="1" applyBorder="1" applyAlignment="1">
      <alignment horizontal="center"/>
    </xf>
    <xf numFmtId="0" fontId="8" fillId="0" borderId="16" xfId="1" applyFont="1" applyBorder="1" applyAlignment="1">
      <alignment horizontal="center"/>
    </xf>
    <xf numFmtId="0" fontId="8" fillId="0" borderId="38" xfId="1" applyFont="1" applyBorder="1" applyAlignment="1">
      <alignment horizontal="center"/>
    </xf>
    <xf numFmtId="0" fontId="16" fillId="14" borderId="5" xfId="1" applyFont="1" applyFill="1" applyBorder="1" applyAlignment="1">
      <alignment horizontal="center"/>
    </xf>
    <xf numFmtId="0" fontId="16" fillId="14" borderId="7" xfId="1" applyFont="1" applyFill="1" applyBorder="1" applyAlignment="1">
      <alignment horizontal="center"/>
    </xf>
    <xf numFmtId="0" fontId="16" fillId="14" borderId="8" xfId="1" applyFont="1" applyFill="1" applyBorder="1" applyAlignment="1">
      <alignment horizontal="center"/>
    </xf>
    <xf numFmtId="0" fontId="7" fillId="0" borderId="42" xfId="1" applyFont="1" applyBorder="1" applyAlignment="1">
      <alignment horizontal="center"/>
    </xf>
    <xf numFmtId="0" fontId="13" fillId="9" borderId="7" xfId="2" applyFont="1" applyFill="1" applyBorder="1" applyAlignment="1">
      <alignment horizontal="center" vertical="center"/>
    </xf>
    <xf numFmtId="0" fontId="16" fillId="14" borderId="57" xfId="0" applyFont="1" applyFill="1" applyBorder="1" applyAlignment="1">
      <alignment horizontal="center"/>
    </xf>
    <xf numFmtId="0" fontId="16" fillId="14" borderId="65" xfId="0" applyFont="1" applyFill="1" applyBorder="1" applyAlignment="1">
      <alignment horizontal="center"/>
    </xf>
    <xf numFmtId="0" fontId="13" fillId="17" borderId="31" xfId="1" applyFont="1" applyFill="1" applyBorder="1" applyAlignment="1">
      <alignment horizontal="center" vertical="center"/>
    </xf>
    <xf numFmtId="0" fontId="13" fillId="3" borderId="56" xfId="2" applyFont="1" applyFill="1" applyBorder="1" applyAlignment="1">
      <alignment horizontal="center" vertical="center"/>
    </xf>
    <xf numFmtId="0" fontId="13" fillId="9" borderId="7" xfId="1" applyFont="1" applyFill="1" applyBorder="1" applyAlignment="1">
      <alignment horizontal="center" vertical="center"/>
    </xf>
    <xf numFmtId="0" fontId="17" fillId="3" borderId="37" xfId="1" applyFont="1" applyFill="1" applyBorder="1" applyAlignment="1">
      <alignment horizontal="left" wrapText="1"/>
    </xf>
    <xf numFmtId="0" fontId="17" fillId="3" borderId="38" xfId="1" applyFont="1" applyFill="1" applyBorder="1" applyAlignment="1">
      <alignment horizontal="left" wrapText="1"/>
    </xf>
    <xf numFmtId="0" fontId="17" fillId="11" borderId="37" xfId="1" applyFont="1" applyFill="1" applyBorder="1" applyAlignment="1">
      <alignment horizontal="left" wrapText="1"/>
    </xf>
    <xf numFmtId="0" fontId="17" fillId="11" borderId="16" xfId="1" applyFont="1" applyFill="1" applyBorder="1" applyAlignment="1">
      <alignment horizontal="left" wrapText="1"/>
    </xf>
    <xf numFmtId="0" fontId="17" fillId="8" borderId="45" xfId="1" applyFont="1" applyFill="1" applyBorder="1" applyAlignment="1">
      <alignment horizontal="left" wrapText="1"/>
    </xf>
    <xf numFmtId="0" fontId="17" fillId="8" borderId="22" xfId="1" applyFont="1" applyFill="1" applyBorder="1" applyAlignment="1">
      <alignment horizontal="left" wrapText="1"/>
    </xf>
    <xf numFmtId="0" fontId="8" fillId="0" borderId="17" xfId="1" applyFont="1" applyBorder="1" applyAlignment="1">
      <alignment horizontal="center"/>
    </xf>
    <xf numFmtId="0" fontId="8" fillId="0" borderId="19" xfId="1" applyFont="1" applyBorder="1" applyAlignment="1">
      <alignment horizontal="center"/>
    </xf>
    <xf numFmtId="0" fontId="8" fillId="0" borderId="20" xfId="1" applyFont="1" applyBorder="1" applyAlignment="1">
      <alignment horizontal="center"/>
    </xf>
    <xf numFmtId="0" fontId="13" fillId="17" borderId="19" xfId="1" applyFont="1" applyFill="1" applyBorder="1" applyAlignment="1">
      <alignment horizontal="center" vertical="center"/>
    </xf>
    <xf numFmtId="0" fontId="13" fillId="18" borderId="7" xfId="1" applyFont="1" applyFill="1" applyBorder="1" applyAlignment="1">
      <alignment horizontal="center" vertical="center"/>
    </xf>
    <xf numFmtId="0" fontId="13" fillId="18" borderId="8" xfId="1" applyFont="1" applyFill="1" applyBorder="1" applyAlignment="1">
      <alignment horizontal="center" vertical="center"/>
    </xf>
    <xf numFmtId="0" fontId="13" fillId="18" borderId="19" xfId="1" applyFont="1" applyFill="1" applyBorder="1" applyAlignment="1">
      <alignment horizontal="center" vertical="center"/>
    </xf>
    <xf numFmtId="0" fontId="13" fillId="18" borderId="20" xfId="1" applyFont="1" applyFill="1" applyBorder="1" applyAlignment="1">
      <alignment horizontal="center" vertical="center"/>
    </xf>
    <xf numFmtId="0" fontId="13" fillId="15" borderId="7" xfId="1" applyFont="1" applyFill="1" applyBorder="1" applyAlignment="1">
      <alignment horizontal="center" vertical="center"/>
    </xf>
    <xf numFmtId="0" fontId="13" fillId="19" borderId="7" xfId="1" applyFont="1" applyFill="1" applyBorder="1" applyAlignment="1">
      <alignment horizontal="center" vertical="center"/>
    </xf>
    <xf numFmtId="0" fontId="13" fillId="19" borderId="15" xfId="1" applyFont="1" applyFill="1" applyBorder="1" applyAlignment="1">
      <alignment horizontal="center" vertical="center"/>
    </xf>
    <xf numFmtId="0" fontId="13" fillId="9" borderId="19" xfId="2" applyFont="1" applyFill="1" applyBorder="1" applyAlignment="1">
      <alignment horizontal="center" vertical="center"/>
    </xf>
    <xf numFmtId="0" fontId="13" fillId="10" borderId="19" xfId="2" applyFont="1" applyFill="1" applyBorder="1" applyAlignment="1">
      <alignment horizontal="center" vertical="center"/>
    </xf>
    <xf numFmtId="0" fontId="13" fillId="16" borderId="19" xfId="2" applyFont="1" applyFill="1" applyBorder="1" applyAlignment="1">
      <alignment horizontal="center" vertical="center"/>
    </xf>
    <xf numFmtId="0" fontId="13" fillId="9" borderId="31" xfId="2" applyFont="1" applyFill="1" applyBorder="1" applyAlignment="1">
      <alignment horizontal="center" vertical="center"/>
    </xf>
    <xf numFmtId="0" fontId="13" fillId="18" borderId="7" xfId="0" applyFont="1" applyFill="1" applyBorder="1" applyAlignment="1">
      <alignment horizontal="center" vertical="center"/>
    </xf>
    <xf numFmtId="0" fontId="13" fillId="15" borderId="19" xfId="1" applyFont="1" applyFill="1" applyBorder="1" applyAlignment="1">
      <alignment horizontal="center" vertical="center"/>
    </xf>
    <xf numFmtId="0" fontId="11" fillId="9" borderId="18" xfId="2" applyFill="1" applyBorder="1" applyAlignment="1">
      <alignment horizontal="center" vertical="center"/>
    </xf>
    <xf numFmtId="0" fontId="11" fillId="9" borderId="41" xfId="2" applyFill="1" applyBorder="1" applyAlignment="1">
      <alignment horizontal="center" vertical="center"/>
    </xf>
    <xf numFmtId="0" fontId="13" fillId="3" borderId="11" xfId="2" applyFont="1" applyFill="1" applyBorder="1" applyAlignment="1">
      <alignment horizontal="center" vertical="center"/>
    </xf>
    <xf numFmtId="0" fontId="13" fillId="3" borderId="12" xfId="2" applyFont="1" applyFill="1" applyBorder="1" applyAlignment="1">
      <alignment horizontal="center" vertical="center"/>
    </xf>
    <xf numFmtId="0" fontId="5" fillId="5" borderId="6" xfId="2" applyFont="1" applyFill="1" applyBorder="1" applyAlignment="1">
      <alignment horizontal="center" vertical="center"/>
    </xf>
    <xf numFmtId="0" fontId="5" fillId="5" borderId="10" xfId="2" applyFont="1" applyFill="1" applyBorder="1" applyAlignment="1">
      <alignment horizontal="center" vertical="center"/>
    </xf>
    <xf numFmtId="0" fontId="4" fillId="4" borderId="6" xfId="1" applyFont="1" applyFill="1" applyBorder="1" applyAlignment="1">
      <alignment horizontal="center" vertical="center"/>
    </xf>
    <xf numFmtId="0" fontId="4" fillId="4" borderId="9" xfId="1" applyFont="1" applyFill="1" applyBorder="1" applyAlignment="1">
      <alignment horizontal="center" vertical="center"/>
    </xf>
    <xf numFmtId="0" fontId="13" fillId="8" borderId="18" xfId="1" applyFont="1" applyFill="1" applyBorder="1" applyAlignment="1">
      <alignment horizontal="center" vertical="center"/>
    </xf>
    <xf numFmtId="0" fontId="13" fillId="8" borderId="22" xfId="1" applyFont="1" applyFill="1" applyBorder="1" applyAlignment="1">
      <alignment horizontal="center" vertical="center"/>
    </xf>
    <xf numFmtId="0" fontId="11" fillId="9" borderId="35" xfId="2" applyFill="1" applyBorder="1" applyAlignment="1">
      <alignment horizontal="center" vertical="center"/>
    </xf>
    <xf numFmtId="0" fontId="11" fillId="9" borderId="31" xfId="2" applyFill="1" applyBorder="1" applyAlignment="1">
      <alignment horizontal="center" vertical="center"/>
    </xf>
    <xf numFmtId="0" fontId="11" fillId="9" borderId="11" xfId="2" applyFill="1" applyBorder="1" applyAlignment="1">
      <alignment horizontal="center" vertical="center"/>
    </xf>
    <xf numFmtId="0" fontId="11" fillId="9" borderId="16" xfId="2" applyFill="1" applyBorder="1" applyAlignment="1">
      <alignment horizontal="center" vertical="center"/>
    </xf>
    <xf numFmtId="0" fontId="11" fillId="9" borderId="38" xfId="2" applyFill="1" applyBorder="1" applyAlignment="1">
      <alignment horizontal="center" vertical="center"/>
    </xf>
    <xf numFmtId="0" fontId="6" fillId="6" borderId="11" xfId="1" applyFont="1" applyFill="1" applyBorder="1" applyAlignment="1">
      <alignment horizontal="center" vertical="center"/>
    </xf>
    <xf numFmtId="0" fontId="6" fillId="6" borderId="12" xfId="1" applyFont="1" applyFill="1" applyBorder="1" applyAlignment="1">
      <alignment horizontal="center" vertical="center"/>
    </xf>
    <xf numFmtId="0" fontId="11" fillId="9" borderId="14" xfId="2" applyFill="1" applyBorder="1" applyAlignment="1">
      <alignment horizontal="center" vertical="center"/>
    </xf>
    <xf numFmtId="0" fontId="12" fillId="9" borderId="7" xfId="1" applyFont="1" applyFill="1" applyBorder="1" applyAlignment="1">
      <alignment horizontal="center" vertical="center"/>
    </xf>
    <xf numFmtId="0" fontId="11" fillId="10" borderId="19" xfId="2" applyFill="1" applyBorder="1" applyAlignment="1">
      <alignment horizontal="center" vertical="center"/>
    </xf>
    <xf numFmtId="0" fontId="11" fillId="9" borderId="6" xfId="2" applyFill="1" applyBorder="1" applyAlignment="1">
      <alignment horizontal="center" vertical="center"/>
    </xf>
    <xf numFmtId="0" fontId="11" fillId="9" borderId="9" xfId="2" applyFill="1" applyBorder="1" applyAlignment="1">
      <alignment horizontal="center" vertical="center"/>
    </xf>
    <xf numFmtId="0" fontId="11" fillId="9" borderId="10" xfId="2" applyFill="1" applyBorder="1" applyAlignment="1">
      <alignment horizontal="center" vertical="center"/>
    </xf>
    <xf numFmtId="0" fontId="14" fillId="9" borderId="16" xfId="2" applyFont="1" applyFill="1" applyBorder="1" applyAlignment="1">
      <alignment horizontal="center" vertical="center"/>
    </xf>
    <xf numFmtId="0" fontId="14" fillId="9" borderId="12" xfId="2" applyFont="1" applyFill="1" applyBorder="1" applyAlignment="1">
      <alignment horizontal="center" vertical="center"/>
    </xf>
    <xf numFmtId="0" fontId="13" fillId="3" borderId="11" xfId="1" applyFont="1" applyFill="1" applyBorder="1" applyAlignment="1">
      <alignment horizontal="center" vertical="center"/>
    </xf>
    <xf numFmtId="0" fontId="13" fillId="3" borderId="12" xfId="1" applyFont="1" applyFill="1" applyBorder="1" applyAlignment="1">
      <alignment horizontal="center" vertical="center"/>
    </xf>
    <xf numFmtId="0" fontId="5" fillId="8" borderId="18" xfId="1" applyFont="1" applyFill="1" applyBorder="1" applyAlignment="1">
      <alignment horizontal="center" vertical="center"/>
    </xf>
    <xf numFmtId="0" fontId="5" fillId="8" borderId="23" xfId="1" applyFont="1" applyFill="1" applyBorder="1" applyAlignment="1">
      <alignment horizontal="center" vertical="center"/>
    </xf>
    <xf numFmtId="0" fontId="13" fillId="8" borderId="23" xfId="1" applyFont="1" applyFill="1" applyBorder="1" applyAlignment="1">
      <alignment horizontal="center" vertical="center"/>
    </xf>
    <xf numFmtId="0" fontId="13" fillId="8" borderId="6" xfId="1" applyFont="1" applyFill="1" applyBorder="1" applyAlignment="1">
      <alignment horizontal="center" vertical="center"/>
    </xf>
    <xf numFmtId="0" fontId="13" fillId="8" borderId="9" xfId="1" applyFont="1" applyFill="1" applyBorder="1" applyAlignment="1">
      <alignment horizontal="center" vertical="center"/>
    </xf>
    <xf numFmtId="0" fontId="13" fillId="8" borderId="10" xfId="1" applyFont="1" applyFill="1" applyBorder="1" applyAlignment="1">
      <alignment horizontal="center" vertical="center"/>
    </xf>
    <xf numFmtId="0" fontId="5" fillId="8" borderId="22" xfId="1" applyFont="1" applyFill="1" applyBorder="1" applyAlignment="1">
      <alignment horizontal="center" vertical="center"/>
    </xf>
    <xf numFmtId="0" fontId="5" fillId="5" borderId="9" xfId="2" applyFont="1" applyFill="1" applyBorder="1" applyAlignment="1">
      <alignment horizontal="center" vertical="center"/>
    </xf>
    <xf numFmtId="0" fontId="14" fillId="9" borderId="11" xfId="2" applyFont="1" applyFill="1" applyBorder="1" applyAlignment="1">
      <alignment horizontal="center" vertical="center"/>
    </xf>
    <xf numFmtId="0" fontId="3" fillId="2" borderId="1" xfId="1" applyFont="1" applyFill="1" applyBorder="1" applyAlignment="1">
      <alignment horizontal="center"/>
    </xf>
    <xf numFmtId="0" fontId="3" fillId="2" borderId="2" xfId="1" applyFont="1" applyFill="1" applyBorder="1" applyAlignment="1">
      <alignment horizontal="center"/>
    </xf>
    <xf numFmtId="0" fontId="3" fillId="2" borderId="3" xfId="1" applyFont="1" applyFill="1" applyBorder="1" applyAlignment="1">
      <alignment horizontal="center"/>
    </xf>
    <xf numFmtId="0" fontId="13" fillId="8" borderId="9" xfId="0" applyFont="1" applyFill="1" applyBorder="1" applyAlignment="1">
      <alignment horizontal="center" vertical="center"/>
    </xf>
    <xf numFmtId="0" fontId="13" fillId="8" borderId="10" xfId="0" applyFont="1" applyFill="1" applyBorder="1" applyAlignment="1">
      <alignment horizontal="center" vertical="center"/>
    </xf>
    <xf numFmtId="0" fontId="13" fillId="8" borderId="11" xfId="1" applyFont="1" applyFill="1" applyBorder="1" applyAlignment="1">
      <alignment horizontal="center" vertical="center"/>
    </xf>
    <xf numFmtId="0" fontId="13" fillId="8" borderId="16" xfId="1" applyFont="1" applyFill="1" applyBorder="1" applyAlignment="1">
      <alignment horizontal="center" vertical="center"/>
    </xf>
    <xf numFmtId="0" fontId="13" fillId="8" borderId="12" xfId="1" applyFont="1" applyFill="1" applyBorder="1" applyAlignment="1">
      <alignment horizontal="center" vertical="center"/>
    </xf>
    <xf numFmtId="0" fontId="11" fillId="9" borderId="27" xfId="2" applyFill="1" applyBorder="1" applyAlignment="1">
      <alignment horizontal="center" vertical="center"/>
    </xf>
    <xf numFmtId="0" fontId="11" fillId="9" borderId="28" xfId="2" applyFill="1" applyBorder="1" applyAlignment="1">
      <alignment horizontal="center" vertical="center"/>
    </xf>
    <xf numFmtId="0" fontId="13" fillId="10" borderId="19" xfId="1" applyFont="1" applyFill="1" applyBorder="1" applyAlignment="1">
      <alignment horizontal="center" vertical="center"/>
    </xf>
  </cellXfs>
  <cellStyles count="3">
    <cellStyle name="Bad" xfId="2" builtinId="27"/>
    <cellStyle name="Normal" xfId="0" builtinId="0"/>
    <cellStyle name="Normal 8" xfId="1"/>
  </cellStyles>
  <dxfs count="25">
    <dxf>
      <numFmt numFmtId="165" formatCode="dd/mm/yyyy"/>
    </dxf>
    <dxf>
      <font>
        <b val="0"/>
        <i val="0"/>
        <strike val="0"/>
        <condense val="0"/>
        <extend val="0"/>
        <outline val="0"/>
        <shadow val="0"/>
        <u val="none"/>
        <vertAlign val="baseline"/>
        <sz val="11"/>
        <color auto="1"/>
        <name val="Trebuchet MS"/>
        <scheme val="minor"/>
      </font>
      <alignment horizontal="center" vertical="bottom"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Trebuchet MS"/>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Trebuchet MS"/>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Trebuchet MS"/>
        <scheme val="minor"/>
      </font>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sz val="11"/>
        <color auto="1"/>
        <name val="Trebuchet MS"/>
        <scheme val="minor"/>
      </font>
    </dxf>
    <dxf>
      <border outline="0">
        <bottom style="thin">
          <color indexed="64"/>
        </bottom>
      </border>
    </dxf>
    <dxf>
      <fill>
        <patternFill patternType="solid">
          <fgColor indexed="64"/>
          <bgColor rgb="FF0064D2"/>
        </patternFill>
      </fill>
      <alignment horizontal="general"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general" vertical="center" textRotation="0" wrapText="0" indent="0" justifyLastLine="0" shrinkToFit="0" readingOrder="0"/>
    </dxf>
    <dxf>
      <alignment horizontal="center" vertical="center" textRotation="0" wrapText="0" indent="0" justifyLastLine="0" shrinkToFit="0" readingOrder="0"/>
    </dxf>
    <dxf>
      <border diagonalUp="0" diagonalDown="0">
        <left style="medium">
          <color indexed="64"/>
        </left>
        <right style="medium">
          <color indexed="64"/>
        </right>
        <top style="medium">
          <color indexed="64"/>
        </top>
        <bottom style="medium">
          <color indexed="64"/>
        </bottom>
      </border>
    </dxf>
    <dxf>
      <alignment horizontal="center" vertical="center" textRotation="0" wrapText="0" indent="0" justifyLastLine="0" shrinkToFit="0" readingOrder="0"/>
    </dxf>
    <dxf>
      <font>
        <strike val="0"/>
        <outline val="0"/>
        <shadow val="0"/>
        <u val="none"/>
        <vertAlign val="baseline"/>
        <sz val="12"/>
        <color theme="1"/>
        <name val="Trebuchet MS"/>
        <scheme val="minor"/>
      </font>
      <fill>
        <patternFill patternType="solid">
          <fgColor indexed="64"/>
          <bgColor rgb="FF0064D2"/>
        </patternFill>
      </fill>
      <alignment horizontal="center" vertical="center" textRotation="0" wrapText="0" indent="0" justifyLastLine="0" shrinkToFit="0" readingOrder="0"/>
    </dxf>
  </dxfs>
  <tableStyles count="0" defaultTableStyle="TableStyleMedium2" defaultPivotStyle="PivotStyleLight16"/>
  <colors>
    <mruColors>
      <color rgb="FF0064D2"/>
      <color rgb="FFC7CCE4"/>
      <color rgb="FF666666"/>
      <color rgb="FFAF8CC8"/>
      <color rgb="FFFA9628"/>
      <color rgb="FF64AF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[Outage List - Thermal (UPDATED).xlsm]Sheet2!Ouatge Pivot</c:name>
    <c:fmtId val="0"/>
  </c:pivotSource>
  <c:chart>
    <c:autoTitleDeleted val="0"/>
    <c:pivotFmts>
      <c:pivotFmt>
        <c:idx val="0"/>
        <c:spPr>
          <a:solidFill>
            <a:sysClr val="window" lastClr="FFFFFF"/>
          </a:solidFill>
        </c:spPr>
        <c:marker>
          <c:symbol val="none"/>
        </c:marker>
      </c:pivotFmt>
      <c:pivotFmt>
        <c:idx val="1"/>
        <c:marker>
          <c:symbol val="none"/>
        </c:marker>
      </c:pivotFmt>
      <c:pivotFmt>
        <c:idx val="2"/>
        <c:marker>
          <c:symbol val="none"/>
        </c:marker>
      </c:pivotFmt>
      <c:pivotFmt>
        <c:idx val="3"/>
        <c:marker>
          <c:symbol val="none"/>
        </c:marker>
      </c:pivotFmt>
      <c:pivotFmt>
        <c:idx val="4"/>
        <c:marker>
          <c:symbol val="none"/>
        </c:marker>
      </c:pivotFmt>
      <c:pivotFmt>
        <c:idx val="5"/>
        <c:marker>
          <c:symbol val="none"/>
        </c:marker>
      </c:pivotFmt>
      <c:pivotFmt>
        <c:idx val="6"/>
        <c:marker>
          <c:symbol val="none"/>
        </c:marker>
      </c:pivotFmt>
      <c:pivotFmt>
        <c:idx val="7"/>
        <c:marker>
          <c:symbol val="none"/>
        </c:marker>
      </c:pivotFmt>
      <c:pivotFmt>
        <c:idx val="8"/>
        <c:marker>
          <c:symbol val="none"/>
        </c:marker>
      </c:pivotFmt>
      <c:pivotFmt>
        <c:idx val="9"/>
        <c:marker>
          <c:symbol val="none"/>
        </c:marker>
      </c:pivotFmt>
      <c:pivotFmt>
        <c:idx val="10"/>
        <c:marker>
          <c:symbol val="none"/>
        </c:marker>
      </c:pivotFmt>
    </c:pivotFmts>
    <c:plotArea>
      <c:layout/>
      <c:barChart>
        <c:barDir val="bar"/>
        <c:grouping val="stacked"/>
        <c:varyColors val="0"/>
        <c:ser>
          <c:idx val="0"/>
          <c:order val="0"/>
          <c:tx>
            <c:strRef>
              <c:f>Sheet2!$B$3:$B$4</c:f>
              <c:strCache>
                <c:ptCount val="1"/>
                <c:pt idx="0">
                  <c:v>1/03/2018</c:v>
                </c:pt>
              </c:strCache>
            </c:strRef>
          </c:tx>
          <c:spPr>
            <a:solidFill>
              <a:sysClr val="window" lastClr="FFFFFF"/>
            </a:solidFill>
          </c:spPr>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Sheet2!$B$5:$B$21</c:f>
              <c:numCache>
                <c:formatCode>General</c:formatCode>
                <c:ptCount val="11"/>
                <c:pt idx="5">
                  <c:v>14</c:v>
                </c:pt>
                <c:pt idx="9">
                  <c:v>14</c:v>
                </c:pt>
              </c:numCache>
            </c:numRef>
          </c:val>
          <c:extLst>
            <c:ext xmlns:c16="http://schemas.microsoft.com/office/drawing/2014/chart" uri="{C3380CC4-5D6E-409C-BE32-E72D297353CC}">
              <c16:uniqueId val="{00000000-C0DB-4588-A4B9-FE75BCB9F530}"/>
            </c:ext>
          </c:extLst>
        </c:ser>
        <c:ser>
          <c:idx val="1"/>
          <c:order val="1"/>
          <c:tx>
            <c:strRef>
              <c:f>Sheet2!$C$3:$C$4</c:f>
              <c:strCache>
                <c:ptCount val="1"/>
                <c:pt idx="0">
                  <c:v>1/04/2018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Sheet2!$C$5:$C$21</c:f>
              <c:numCache>
                <c:formatCode>General</c:formatCode>
                <c:ptCount val="11"/>
                <c:pt idx="0">
                  <c:v>84</c:v>
                </c:pt>
                <c:pt idx="7">
                  <c:v>14</c:v>
                </c:pt>
              </c:numCache>
            </c:numRef>
          </c:val>
          <c:extLst>
            <c:ext xmlns:c16="http://schemas.microsoft.com/office/drawing/2014/chart" uri="{C3380CC4-5D6E-409C-BE32-E72D297353CC}">
              <c16:uniqueId val="{00000001-C0DB-4588-A4B9-FE75BCB9F530}"/>
            </c:ext>
          </c:extLst>
        </c:ser>
        <c:ser>
          <c:idx val="2"/>
          <c:order val="2"/>
          <c:tx>
            <c:strRef>
              <c:f>Sheet2!$D$3:$D$4</c:f>
              <c:strCache>
                <c:ptCount val="1"/>
                <c:pt idx="0">
                  <c:v>1/05/2018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Sheet2!$D$5:$D$21</c:f>
              <c:numCache>
                <c:formatCode>General</c:formatCode>
                <c:ptCount val="11"/>
                <c:pt idx="1">
                  <c:v>14</c:v>
                </c:pt>
                <c:pt idx="6">
                  <c:v>14</c:v>
                </c:pt>
              </c:numCache>
            </c:numRef>
          </c:val>
          <c:extLst>
            <c:ext xmlns:c16="http://schemas.microsoft.com/office/drawing/2014/chart" uri="{C3380CC4-5D6E-409C-BE32-E72D297353CC}">
              <c16:uniqueId val="{00000002-C0DB-4588-A4B9-FE75BCB9F530}"/>
            </c:ext>
          </c:extLst>
        </c:ser>
        <c:ser>
          <c:idx val="3"/>
          <c:order val="3"/>
          <c:tx>
            <c:strRef>
              <c:f>Sheet2!$E$3:$E$4</c:f>
              <c:strCache>
                <c:ptCount val="1"/>
                <c:pt idx="0">
                  <c:v>1/07/2018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Sheet2!$E$5:$E$21</c:f>
              <c:numCache>
                <c:formatCode>General</c:formatCode>
                <c:ptCount val="11"/>
                <c:pt idx="9">
                  <c:v>2</c:v>
                </c:pt>
              </c:numCache>
            </c:numRef>
          </c:val>
          <c:extLst>
            <c:ext xmlns:c16="http://schemas.microsoft.com/office/drawing/2014/chart" uri="{C3380CC4-5D6E-409C-BE32-E72D297353CC}">
              <c16:uniqueId val="{00000003-C0DB-4588-A4B9-FE75BCB9F530}"/>
            </c:ext>
          </c:extLst>
        </c:ser>
        <c:ser>
          <c:idx val="4"/>
          <c:order val="4"/>
          <c:tx>
            <c:strRef>
              <c:f>Sheet2!$F$3:$F$4</c:f>
              <c:strCache>
                <c:ptCount val="1"/>
                <c:pt idx="0">
                  <c:v>1/08/2018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Sheet2!$F$5:$F$21</c:f>
              <c:numCache>
                <c:formatCode>General</c:formatCode>
                <c:ptCount val="11"/>
                <c:pt idx="2">
                  <c:v>14</c:v>
                </c:pt>
                <c:pt idx="3">
                  <c:v>20</c:v>
                </c:pt>
              </c:numCache>
            </c:numRef>
          </c:val>
          <c:extLst>
            <c:ext xmlns:c16="http://schemas.microsoft.com/office/drawing/2014/chart" uri="{C3380CC4-5D6E-409C-BE32-E72D297353CC}">
              <c16:uniqueId val="{00000004-C0DB-4588-A4B9-FE75BCB9F530}"/>
            </c:ext>
          </c:extLst>
        </c:ser>
        <c:ser>
          <c:idx val="5"/>
          <c:order val="5"/>
          <c:tx>
            <c:strRef>
              <c:f>Sheet2!$G$3:$G$4</c:f>
              <c:strCache>
                <c:ptCount val="1"/>
                <c:pt idx="0">
                  <c:v>5/08/2018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Sheet2!$G$5:$G$21</c:f>
              <c:numCache>
                <c:formatCode>General</c:formatCode>
                <c:ptCount val="11"/>
                <c:pt idx="4">
                  <c:v>45</c:v>
                </c:pt>
              </c:numCache>
            </c:numRef>
          </c:val>
          <c:extLst>
            <c:ext xmlns:c16="http://schemas.microsoft.com/office/drawing/2014/chart" uri="{C3380CC4-5D6E-409C-BE32-E72D297353CC}">
              <c16:uniqueId val="{00000005-C0DB-4588-A4B9-FE75BCB9F530}"/>
            </c:ext>
          </c:extLst>
        </c:ser>
        <c:ser>
          <c:idx val="6"/>
          <c:order val="6"/>
          <c:tx>
            <c:strRef>
              <c:f>Sheet2!$H$3:$H$4</c:f>
              <c:strCache>
                <c:ptCount val="1"/>
                <c:pt idx="0">
                  <c:v>27/08/2018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Sheet2!$H$5:$H$21</c:f>
              <c:numCache>
                <c:formatCode>General</c:formatCode>
                <c:ptCount val="11"/>
                <c:pt idx="8">
                  <c:v>45</c:v>
                </c:pt>
              </c:numCache>
            </c:numRef>
          </c:val>
          <c:extLst>
            <c:ext xmlns:c16="http://schemas.microsoft.com/office/drawing/2014/chart" uri="{C3380CC4-5D6E-409C-BE32-E72D297353CC}">
              <c16:uniqueId val="{00000006-C0DB-4588-A4B9-FE75BCB9F530}"/>
            </c:ext>
          </c:extLst>
        </c:ser>
        <c:ser>
          <c:idx val="7"/>
          <c:order val="7"/>
          <c:tx>
            <c:strRef>
              <c:f>Sheet2!$I$3:$I$4</c:f>
              <c:strCache>
                <c:ptCount val="1"/>
                <c:pt idx="0">
                  <c:v>21/10/2018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Sheet2!$I$5:$I$21</c:f>
              <c:numCache>
                <c:formatCode>General</c:formatCode>
                <c:ptCount val="11"/>
                <c:pt idx="1">
                  <c:v>16</c:v>
                </c:pt>
              </c:numCache>
            </c:numRef>
          </c:val>
          <c:extLst>
            <c:ext xmlns:c16="http://schemas.microsoft.com/office/drawing/2014/chart" uri="{C3380CC4-5D6E-409C-BE32-E72D297353CC}">
              <c16:uniqueId val="{00000007-C0DB-4588-A4B9-FE75BCB9F530}"/>
            </c:ext>
          </c:extLst>
        </c:ser>
        <c:ser>
          <c:idx val="8"/>
          <c:order val="8"/>
          <c:tx>
            <c:strRef>
              <c:f>Sheet2!$J$3:$J$4</c:f>
              <c:strCache>
                <c:ptCount val="1"/>
                <c:pt idx="0">
                  <c:v>1/11/2018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Sheet2!$J$5:$J$21</c:f>
              <c:numCache>
                <c:formatCode>General</c:formatCode>
                <c:ptCount val="11"/>
                <c:pt idx="6">
                  <c:v>14</c:v>
                </c:pt>
              </c:numCache>
            </c:numRef>
          </c:val>
          <c:extLst>
            <c:ext xmlns:c16="http://schemas.microsoft.com/office/drawing/2014/chart" uri="{C3380CC4-5D6E-409C-BE32-E72D297353CC}">
              <c16:uniqueId val="{00000008-C0DB-4588-A4B9-FE75BCB9F530}"/>
            </c:ext>
          </c:extLst>
        </c:ser>
        <c:ser>
          <c:idx val="9"/>
          <c:order val="9"/>
          <c:tx>
            <c:strRef>
              <c:f>Sheet2!$K$3:$K$4</c:f>
              <c:strCache>
                <c:ptCount val="1"/>
                <c:pt idx="0">
                  <c:v>1/12/2018</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Sheet2!$K$5:$K$21</c:f>
              <c:numCache>
                <c:formatCode>General</c:formatCode>
                <c:ptCount val="11"/>
                <c:pt idx="7">
                  <c:v>14</c:v>
                </c:pt>
              </c:numCache>
            </c:numRef>
          </c:val>
          <c:extLst>
            <c:ext xmlns:c16="http://schemas.microsoft.com/office/drawing/2014/chart" uri="{C3380CC4-5D6E-409C-BE32-E72D297353CC}">
              <c16:uniqueId val="{00000009-C0DB-4588-A4B9-FE75BCB9F530}"/>
            </c:ext>
          </c:extLst>
        </c:ser>
        <c:ser>
          <c:idx val="10"/>
          <c:order val="10"/>
          <c:tx>
            <c:strRef>
              <c:f>Sheet2!$L$3:$L$4</c:f>
              <c:strCache>
                <c:ptCount val="1"/>
                <c:pt idx="0">
                  <c:v>(blank)</c:v>
                </c:pt>
              </c:strCache>
            </c:strRef>
          </c:tx>
          <c:invertIfNegative val="0"/>
          <c:cat>
            <c:multiLvlStrRef>
              <c:f>Sheet2!$A$5:$A$21</c:f>
              <c:multiLvlStrCache>
                <c:ptCount val="11"/>
                <c:lvl>
                  <c:pt idx="0">
                    <c:v>1</c:v>
                  </c:pt>
                  <c:pt idx="1">
                    <c:v>2</c:v>
                  </c:pt>
                  <c:pt idx="2">
                    <c:v>3</c:v>
                  </c:pt>
                  <c:pt idx="3">
                    <c:v>3</c:v>
                  </c:pt>
                  <c:pt idx="4">
                    <c:v>5</c:v>
                  </c:pt>
                  <c:pt idx="5">
                    <c:v>6</c:v>
                  </c:pt>
                  <c:pt idx="6">
                    <c:v>1</c:v>
                  </c:pt>
                  <c:pt idx="7">
                    <c:v>2</c:v>
                  </c:pt>
                  <c:pt idx="8">
                    <c:v>3</c:v>
                  </c:pt>
                  <c:pt idx="9">
                    <c:v>4</c:v>
                  </c:pt>
                  <c:pt idx="10">
                    <c:v>(blank)</c:v>
                  </c:pt>
                </c:lvl>
                <c:lvl>
                  <c:pt idx="0">
                    <c:v>Bayswater</c:v>
                  </c:pt>
                  <c:pt idx="3">
                    <c:v>Liddell </c:v>
                  </c:pt>
                  <c:pt idx="4">
                    <c:v>Vales Pt</c:v>
                  </c:pt>
                  <c:pt idx="6">
                    <c:v>Yallourn</c:v>
                  </c:pt>
                  <c:pt idx="10">
                    <c:v>(blank)</c:v>
                  </c:pt>
                </c:lvl>
              </c:multiLvlStrCache>
            </c:multiLvlStrRef>
          </c:cat>
          <c:val>
            <c:numRef>
              <c:f>Sheet2!$L$5:$L$21</c:f>
              <c:numCache>
                <c:formatCode>General</c:formatCode>
                <c:ptCount val="11"/>
              </c:numCache>
            </c:numRef>
          </c:val>
          <c:extLst>
            <c:ext xmlns:c16="http://schemas.microsoft.com/office/drawing/2014/chart" uri="{C3380CC4-5D6E-409C-BE32-E72D297353CC}">
              <c16:uniqueId val="{0000000A-C0DB-4588-A4B9-FE75BCB9F530}"/>
            </c:ext>
          </c:extLst>
        </c:ser>
        <c:dLbls>
          <c:showLegendKey val="0"/>
          <c:showVal val="0"/>
          <c:showCatName val="0"/>
          <c:showSerName val="0"/>
          <c:showPercent val="0"/>
          <c:showBubbleSize val="0"/>
        </c:dLbls>
        <c:gapWidth val="150"/>
        <c:overlap val="100"/>
        <c:axId val="97905280"/>
        <c:axId val="98836864"/>
      </c:barChart>
      <c:catAx>
        <c:axId val="97905280"/>
        <c:scaling>
          <c:orientation val="minMax"/>
        </c:scaling>
        <c:delete val="0"/>
        <c:axPos val="l"/>
        <c:numFmt formatCode="General" sourceLinked="0"/>
        <c:majorTickMark val="out"/>
        <c:minorTickMark val="none"/>
        <c:tickLblPos val="nextTo"/>
        <c:crossAx val="98836864"/>
        <c:crosses val="autoZero"/>
        <c:auto val="1"/>
        <c:lblAlgn val="ctr"/>
        <c:lblOffset val="100"/>
        <c:noMultiLvlLbl val="0"/>
      </c:catAx>
      <c:valAx>
        <c:axId val="98836864"/>
        <c:scaling>
          <c:orientation val="minMax"/>
        </c:scaling>
        <c:delete val="0"/>
        <c:axPos val="b"/>
        <c:majorGridlines/>
        <c:numFmt formatCode="General" sourceLinked="1"/>
        <c:majorTickMark val="out"/>
        <c:minorTickMark val="none"/>
        <c:tickLblPos val="nextTo"/>
        <c:crossAx val="97905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title>
      <c:overlay val="0"/>
    </c:title>
    <c:autoTitleDeleted val="0"/>
    <c:pivotFmts>
      <c:pivotFmt>
        <c:idx val="0"/>
      </c:pivotFmt>
      <c:pivotFmt>
        <c:idx val="1"/>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pivotFmt>
      <c:pivotFmt>
        <c:idx val="15"/>
      </c:pivotFmt>
      <c:pivotFmt>
        <c:idx val="16"/>
        <c:spPr>
          <a:noFill/>
        </c:spPr>
        <c:marker>
          <c:symbol val="none"/>
        </c:marker>
      </c:pivotFmt>
      <c:pivotFmt>
        <c:idx val="17"/>
        <c:marker>
          <c:symbol val="none"/>
        </c:marker>
      </c:pivotFmt>
      <c:pivotFmt>
        <c:idx val="18"/>
        <c:spPr>
          <a:noFill/>
        </c:spPr>
        <c:marker>
          <c:symbol val="none"/>
        </c:marker>
      </c:pivotFmt>
      <c:pivotFmt>
        <c:idx val="19"/>
        <c:marker>
          <c:symbol val="none"/>
        </c:marker>
        <c:dLbl>
          <c:idx val="0"/>
          <c:spPr/>
          <c:txPr>
            <a:bodyPr/>
            <a:lstStyle/>
            <a:p>
              <a:pPr>
                <a:defRPr/>
              </a:pPr>
              <a:endParaRPr lang="en-US"/>
            </a:p>
          </c:txPr>
          <c:dLblPos val="inBase"/>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4281981322479784"/>
          <c:y val="0.22887367296115779"/>
          <c:w val="0.76455116126609823"/>
          <c:h val="0.71889742710007432"/>
        </c:manualLayout>
      </c:layout>
      <c:barChart>
        <c:barDir val="bar"/>
        <c:grouping val="stacked"/>
        <c:varyColors val="0"/>
        <c:ser>
          <c:idx val="0"/>
          <c:order val="0"/>
          <c:tx>
            <c:v>Total</c:v>
          </c:tx>
          <c:invertIfNegative val="0"/>
          <c:dLbls>
            <c:spPr>
              <a:noFill/>
              <a:ln>
                <a:noFill/>
              </a:ln>
              <a:effectLst/>
            </c:spPr>
            <c:dLblPos val="inBase"/>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9"/>
              <c:pt idx="0">
                <c:v>Yallourn 1</c:v>
              </c:pt>
              <c:pt idx="1">
                <c:v>Yallourn 2</c:v>
              </c:pt>
              <c:pt idx="2">
                <c:v>Yallourn 3</c:v>
              </c:pt>
              <c:pt idx="3">
                <c:v>Vales Pt 6</c:v>
              </c:pt>
              <c:pt idx="4">
                <c:v>Vales Pt 5</c:v>
              </c:pt>
              <c:pt idx="5">
                <c:v>Liddell  3</c:v>
              </c:pt>
              <c:pt idx="6">
                <c:v>Bayswater 1</c:v>
              </c:pt>
              <c:pt idx="7">
                <c:v>Bayswater 2</c:v>
              </c:pt>
              <c:pt idx="8">
                <c:v>Bayswater 3</c:v>
              </c:pt>
            </c:strLit>
          </c:cat>
          <c:val>
            <c:numLit>
              <c:formatCode>General</c:formatCode>
              <c:ptCount val="9"/>
              <c:pt idx="0">
                <c:v>14</c:v>
              </c:pt>
              <c:pt idx="1">
                <c:v>14</c:v>
              </c:pt>
              <c:pt idx="2">
                <c:v>45</c:v>
              </c:pt>
              <c:pt idx="3">
                <c:v>14</c:v>
              </c:pt>
              <c:pt idx="4">
                <c:v>45</c:v>
              </c:pt>
              <c:pt idx="5">
                <c:v>20</c:v>
              </c:pt>
              <c:pt idx="6">
                <c:v>84</c:v>
              </c:pt>
              <c:pt idx="7">
                <c:v>15</c:v>
              </c:pt>
              <c:pt idx="8">
                <c:v>14</c:v>
              </c:pt>
            </c:numLit>
          </c:val>
          <c:extLst>
            <c:ext xmlns:c16="http://schemas.microsoft.com/office/drawing/2014/chart" uri="{C3380CC4-5D6E-409C-BE32-E72D297353CC}">
              <c16:uniqueId val="{00000000-0897-4BED-BAA3-0790F6EEBB5B}"/>
            </c:ext>
          </c:extLst>
        </c:ser>
        <c:dLbls>
          <c:showLegendKey val="0"/>
          <c:showVal val="0"/>
          <c:showCatName val="0"/>
          <c:showSerName val="0"/>
          <c:showPercent val="0"/>
          <c:showBubbleSize val="0"/>
        </c:dLbls>
        <c:gapWidth val="150"/>
        <c:overlap val="100"/>
        <c:axId val="98930048"/>
        <c:axId val="98968704"/>
      </c:barChart>
      <c:catAx>
        <c:axId val="98930048"/>
        <c:scaling>
          <c:orientation val="minMax"/>
        </c:scaling>
        <c:delete val="0"/>
        <c:axPos val="l"/>
        <c:majorGridlines/>
        <c:numFmt formatCode="General" sourceLinked="0"/>
        <c:majorTickMark val="out"/>
        <c:minorTickMark val="none"/>
        <c:tickLblPos val="nextTo"/>
        <c:crossAx val="98968704"/>
        <c:crosses val="autoZero"/>
        <c:auto val="1"/>
        <c:lblAlgn val="ctr"/>
        <c:lblOffset val="100"/>
        <c:noMultiLvlLbl val="0"/>
      </c:catAx>
      <c:valAx>
        <c:axId val="98968704"/>
        <c:scaling>
          <c:orientation val="minMax"/>
        </c:scaling>
        <c:delete val="0"/>
        <c:axPos val="b"/>
        <c:majorGridlines/>
        <c:numFmt formatCode="General" sourceLinked="1"/>
        <c:majorTickMark val="out"/>
        <c:minorTickMark val="none"/>
        <c:tickLblPos val="nextTo"/>
        <c:crossAx val="98930048"/>
        <c:crosses val="autoZero"/>
        <c:crossBetween val="between"/>
      </c:valAx>
    </c:plotArea>
    <c:plotVisOnly val="1"/>
    <c:dispBlanksAs val="gap"/>
    <c:showDLblsOverMax val="0"/>
  </c:chart>
  <c:printSettings>
    <c:headerFooter/>
    <c:pageMargins b="0.75" l="0.7" r="0.7" t="0.75" header="0.3" footer="0.3"/>
    <c:pageSetup/>
  </c:printSettings>
  <c:extLst/>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xdr:col>
      <xdr:colOff>148167</xdr:colOff>
      <xdr:row>2</xdr:row>
      <xdr:rowOff>99482</xdr:rowOff>
    </xdr:from>
    <xdr:to>
      <xdr:col>1</xdr:col>
      <xdr:colOff>1301746</xdr:colOff>
      <xdr:row>3</xdr:row>
      <xdr:rowOff>194731</xdr:rowOff>
    </xdr:to>
    <xdr:sp macro="[0]!ListButton" textlink="">
      <xdr:nvSpPr>
        <xdr:cNvPr id="8" name="Pentagon 7"/>
        <xdr:cNvSpPr/>
      </xdr:nvSpPr>
      <xdr:spPr>
        <a:xfrm>
          <a:off x="952500" y="459315"/>
          <a:ext cx="1153579" cy="380999"/>
        </a:xfrm>
        <a:prstGeom prst="homePlate">
          <a:avLst/>
        </a:prstGeom>
        <a:solidFill>
          <a:srgbClr val="666666"/>
        </a:solidFill>
        <a:ln w="3175">
          <a:solidFill>
            <a:schemeClr val="tx1">
              <a:lumMod val="75000"/>
              <a:lumOff val="2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b="1"/>
            <a:t>LIST</a:t>
          </a:r>
        </a:p>
      </xdr:txBody>
    </xdr:sp>
    <xdr:clientData fPrintsWithSheet="0"/>
  </xdr:twoCellAnchor>
  <xdr:twoCellAnchor>
    <xdr:from>
      <xdr:col>0</xdr:col>
      <xdr:colOff>0</xdr:colOff>
      <xdr:row>2</xdr:row>
      <xdr:rowOff>91722</xdr:rowOff>
    </xdr:from>
    <xdr:to>
      <xdr:col>1</xdr:col>
      <xdr:colOff>381000</xdr:colOff>
      <xdr:row>3</xdr:row>
      <xdr:rowOff>186971</xdr:rowOff>
    </xdr:to>
    <xdr:sp macro="[0]!TrackerButton" textlink="">
      <xdr:nvSpPr>
        <xdr:cNvPr id="7" name="Pentagon 6"/>
        <xdr:cNvSpPr/>
      </xdr:nvSpPr>
      <xdr:spPr>
        <a:xfrm>
          <a:off x="0" y="458611"/>
          <a:ext cx="1185333" cy="384527"/>
        </a:xfrm>
        <a:prstGeom prst="homePlate">
          <a:avLst/>
        </a:prstGeom>
        <a:solidFill>
          <a:srgbClr val="0064D2"/>
        </a:solidFill>
        <a:ln w="3175">
          <a:solidFill>
            <a:schemeClr val="tx1">
              <a:lumMod val="75000"/>
              <a:lumOff val="2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b="1"/>
            <a:t>TRACKER</a:t>
          </a:r>
        </a:p>
      </xdr:txBody>
    </xdr:sp>
    <xdr:clientData fPrintsWithSheet="0"/>
  </xdr:twoCellAnchor>
  <xdr:absoluteAnchor>
    <xdr:pos x="2243667" y="518583"/>
    <xdr:ext cx="1171575" cy="352424"/>
    <xdr:sp macro="[0]!QuickEdit" textlink="">
      <xdr:nvSpPr>
        <xdr:cNvPr id="9" name="Rounded Rectangle 8"/>
        <xdr:cNvSpPr/>
      </xdr:nvSpPr>
      <xdr:spPr>
        <a:xfrm>
          <a:off x="2243667" y="518583"/>
          <a:ext cx="1171575" cy="352424"/>
        </a:xfrm>
        <a:prstGeom prst="roundRect">
          <a:avLst/>
        </a:prstGeom>
        <a:solidFill>
          <a:srgbClr val="595959"/>
        </a:solidFill>
        <a:ln>
          <a:noFill/>
        </a:ln>
        <a:effectLst>
          <a:outerShdw dist="38100" dir="5400000" algn="ctr" rotWithShape="0">
            <a:srgbClr val="434647"/>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U" sz="1100" b="1">
              <a:solidFill>
                <a:schemeClr val="lt1"/>
              </a:solidFill>
              <a:effectLst>
                <a:outerShdw blurRad="50800" dist="38100" dir="2700000" algn="tl" rotWithShape="0">
                  <a:prstClr val="black">
                    <a:alpha val="40000"/>
                  </a:prstClr>
                </a:outerShdw>
              </a:effectLst>
              <a:latin typeface="Arial" pitchFamily="34" charset="0"/>
              <a:ea typeface="ＭＳ Ｐゴシック" pitchFamily="34" charset="-128"/>
              <a:cs typeface="Arial" pitchFamily="34" charset="0"/>
            </a:rPr>
            <a:t>Quick Edit</a:t>
          </a:r>
        </a:p>
      </xdr:txBody>
    </xdr:sp>
    <xdr:clientData fPrintsWithSheet="0"/>
  </xdr:absoluteAnchor>
  <xdr:absoluteAnchor>
    <xdr:pos x="2233083" y="95249"/>
    <xdr:ext cx="1171575" cy="352424"/>
    <xdr:sp macro="[0]!AddNewOutage" textlink="">
      <xdr:nvSpPr>
        <xdr:cNvPr id="10" name="Rounded Rectangle 9"/>
        <xdr:cNvSpPr/>
      </xdr:nvSpPr>
      <xdr:spPr>
        <a:xfrm>
          <a:off x="2233083" y="95249"/>
          <a:ext cx="1171575" cy="352424"/>
        </a:xfrm>
        <a:prstGeom prst="roundRect">
          <a:avLst/>
        </a:prstGeom>
        <a:solidFill>
          <a:srgbClr val="595959"/>
        </a:solidFill>
        <a:ln>
          <a:noFill/>
        </a:ln>
        <a:effectLst>
          <a:outerShdw dist="38100" dir="5400000" algn="ctr" rotWithShape="0">
            <a:srgbClr val="434647"/>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U" sz="1100" b="1">
              <a:solidFill>
                <a:schemeClr val="lt1"/>
              </a:solidFill>
              <a:effectLst>
                <a:outerShdw blurRad="50800" dist="38100" dir="2700000" algn="tl" rotWithShape="0">
                  <a:prstClr val="black">
                    <a:alpha val="40000"/>
                  </a:prstClr>
                </a:outerShdw>
              </a:effectLst>
              <a:latin typeface="Arial" pitchFamily="34" charset="0"/>
              <a:ea typeface="ＭＳ Ｐゴシック" pitchFamily="34" charset="-128"/>
              <a:cs typeface="Arial" pitchFamily="34" charset="0"/>
            </a:rPr>
            <a:t>Enter Outage</a:t>
          </a:r>
        </a:p>
      </xdr:txBody>
    </xdr:sp>
    <xdr:clientData fPrintsWithSheet="0"/>
  </xdr:absoluteAnchor>
  <xdr:twoCellAnchor editAs="oneCell">
    <xdr:from>
      <xdr:col>0</xdr:col>
      <xdr:colOff>84667</xdr:colOff>
      <xdr:row>0</xdr:row>
      <xdr:rowOff>74083</xdr:rowOff>
    </xdr:from>
    <xdr:to>
      <xdr:col>1</xdr:col>
      <xdr:colOff>857251</xdr:colOff>
      <xdr:row>1</xdr:row>
      <xdr:rowOff>178166</xdr:rowOff>
    </xdr:to>
    <xdr:pic>
      <xdr:nvPicPr>
        <xdr:cNvPr id="2" name="Picture 1"/>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696" t="20014" r="8696" b="25407"/>
        <a:stretch/>
      </xdr:blipFill>
      <xdr:spPr>
        <a:xfrm>
          <a:off x="84667" y="74083"/>
          <a:ext cx="1587501" cy="379250"/>
        </a:xfrm>
        <a:prstGeom prst="rect">
          <a:avLst/>
        </a:prstGeom>
      </xdr:spPr>
    </xdr:pic>
    <xdr:clientData/>
  </xdr:twoCellAnchor>
  <xdr:twoCellAnchor editAs="oneCell">
    <xdr:from>
      <xdr:col>3</xdr:col>
      <xdr:colOff>52917</xdr:colOff>
      <xdr:row>1</xdr:row>
      <xdr:rowOff>116416</xdr:rowOff>
    </xdr:from>
    <xdr:to>
      <xdr:col>4</xdr:col>
      <xdr:colOff>468842</xdr:colOff>
      <xdr:row>2</xdr:row>
      <xdr:rowOff>239673</xdr:rowOff>
    </xdr:to>
    <xdr:pic macro="[0]!EditAssetList">
      <xdr:nvPicPr>
        <xdr:cNvPr id="3" name="Picture 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460750" y="328083"/>
          <a:ext cx="1230842" cy="33492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239184</xdr:colOff>
      <xdr:row>2</xdr:row>
      <xdr:rowOff>19049</xdr:rowOff>
    </xdr:from>
    <xdr:to>
      <xdr:col>2</xdr:col>
      <xdr:colOff>383113</xdr:colOff>
      <xdr:row>2</xdr:row>
      <xdr:rowOff>400048</xdr:rowOff>
    </xdr:to>
    <xdr:sp macro="[0]!ListButton" textlink="">
      <xdr:nvSpPr>
        <xdr:cNvPr id="3" name="Pentagon 2"/>
        <xdr:cNvSpPr/>
      </xdr:nvSpPr>
      <xdr:spPr>
        <a:xfrm>
          <a:off x="963084" y="438149"/>
          <a:ext cx="1153579" cy="380999"/>
        </a:xfrm>
        <a:prstGeom prst="homePlate">
          <a:avLst/>
        </a:prstGeom>
        <a:solidFill>
          <a:srgbClr val="0064D2"/>
        </a:solidFill>
        <a:ln w="3175">
          <a:solidFill>
            <a:schemeClr val="tx1">
              <a:lumMod val="75000"/>
              <a:lumOff val="2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b="1"/>
            <a:t>LIST</a:t>
          </a:r>
        </a:p>
      </xdr:txBody>
    </xdr:sp>
    <xdr:clientData fPrintsWithSheet="0"/>
  </xdr:twoCellAnchor>
  <xdr:twoCellAnchor>
    <xdr:from>
      <xdr:col>0</xdr:col>
      <xdr:colOff>0</xdr:colOff>
      <xdr:row>2</xdr:row>
      <xdr:rowOff>18343</xdr:rowOff>
    </xdr:from>
    <xdr:to>
      <xdr:col>1</xdr:col>
      <xdr:colOff>472017</xdr:colOff>
      <xdr:row>2</xdr:row>
      <xdr:rowOff>399342</xdr:rowOff>
    </xdr:to>
    <xdr:sp macro="[0]!TrackerButton" textlink="">
      <xdr:nvSpPr>
        <xdr:cNvPr id="4" name="Pentagon 3"/>
        <xdr:cNvSpPr/>
      </xdr:nvSpPr>
      <xdr:spPr>
        <a:xfrm>
          <a:off x="0" y="385232"/>
          <a:ext cx="1198739" cy="380999"/>
        </a:xfrm>
        <a:prstGeom prst="homePlate">
          <a:avLst/>
        </a:prstGeom>
        <a:solidFill>
          <a:srgbClr val="666666"/>
        </a:solidFill>
        <a:ln w="3175">
          <a:solidFill>
            <a:schemeClr val="tx1">
              <a:lumMod val="75000"/>
              <a:lumOff val="25000"/>
            </a:schemeClr>
          </a:solid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AU" sz="1100" b="1"/>
            <a:t>TRACKER</a:t>
          </a:r>
        </a:p>
      </xdr:txBody>
    </xdr:sp>
    <xdr:clientData fPrintsWithSheet="0"/>
  </xdr:twoCellAnchor>
  <xdr:absoluteAnchor>
    <xdr:pos x="2233084" y="486833"/>
    <xdr:ext cx="1171575" cy="352424"/>
    <xdr:sp macro="[0]!QuickEditList" textlink="">
      <xdr:nvSpPr>
        <xdr:cNvPr id="5" name="Rounded Rectangle 4"/>
        <xdr:cNvSpPr/>
      </xdr:nvSpPr>
      <xdr:spPr>
        <a:xfrm>
          <a:off x="2233084" y="486833"/>
          <a:ext cx="1171575" cy="352424"/>
        </a:xfrm>
        <a:prstGeom prst="roundRect">
          <a:avLst/>
        </a:prstGeom>
        <a:solidFill>
          <a:srgbClr val="595959"/>
        </a:solidFill>
        <a:ln>
          <a:noFill/>
        </a:ln>
        <a:effectLst>
          <a:outerShdw dist="38100" dir="5400000" algn="ctr" rotWithShape="0">
            <a:srgbClr val="434647"/>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U" sz="1100" b="1">
              <a:solidFill>
                <a:schemeClr val="lt1"/>
              </a:solidFill>
              <a:effectLst>
                <a:outerShdw blurRad="50800" dist="38100" dir="2700000" algn="tl" rotWithShape="0">
                  <a:prstClr val="black">
                    <a:alpha val="40000"/>
                  </a:prstClr>
                </a:outerShdw>
              </a:effectLst>
              <a:latin typeface="Arial" pitchFamily="34" charset="0"/>
              <a:ea typeface="ＭＳ Ｐゴシック" pitchFamily="34" charset="-128"/>
              <a:cs typeface="Arial" pitchFamily="34" charset="0"/>
            </a:rPr>
            <a:t>Quick Edit</a:t>
          </a:r>
        </a:p>
      </xdr:txBody>
    </xdr:sp>
    <xdr:clientData fPrintsWithSheet="0"/>
  </xdr:absoluteAnchor>
  <xdr:absoluteAnchor>
    <xdr:pos x="2233083" y="74084"/>
    <xdr:ext cx="1171575" cy="352424"/>
    <xdr:sp macro="[0]!AddNewOutage" textlink="">
      <xdr:nvSpPr>
        <xdr:cNvPr id="6" name="Rounded Rectangle 5"/>
        <xdr:cNvSpPr/>
      </xdr:nvSpPr>
      <xdr:spPr>
        <a:xfrm>
          <a:off x="2233083" y="74084"/>
          <a:ext cx="1171575" cy="352424"/>
        </a:xfrm>
        <a:prstGeom prst="roundRect">
          <a:avLst/>
        </a:prstGeom>
        <a:solidFill>
          <a:srgbClr val="595959"/>
        </a:solidFill>
        <a:ln>
          <a:noFill/>
        </a:ln>
        <a:effectLst>
          <a:outerShdw dist="38100" dir="5400000" algn="ctr" rotWithShape="0">
            <a:srgbClr val="434647"/>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AU" sz="1100" b="1">
              <a:solidFill>
                <a:schemeClr val="lt1"/>
              </a:solidFill>
              <a:effectLst>
                <a:outerShdw blurRad="50800" dist="38100" dir="2700000" algn="tl" rotWithShape="0">
                  <a:prstClr val="black">
                    <a:alpha val="40000"/>
                  </a:prstClr>
                </a:outerShdw>
              </a:effectLst>
              <a:latin typeface="Arial" pitchFamily="34" charset="0"/>
              <a:ea typeface="ＭＳ Ｐゴシック" pitchFamily="34" charset="-128"/>
              <a:cs typeface="Arial" pitchFamily="34" charset="0"/>
            </a:rPr>
            <a:t>Enter Outage</a:t>
          </a:r>
        </a:p>
      </xdr:txBody>
    </xdr:sp>
    <xdr:clientData fPrintsWithSheet="0"/>
  </xdr:absoluteAnchor>
  <xdr:twoCellAnchor editAs="oneCell">
    <xdr:from>
      <xdr:col>0</xdr:col>
      <xdr:colOff>84667</xdr:colOff>
      <xdr:row>0</xdr:row>
      <xdr:rowOff>0</xdr:rowOff>
    </xdr:from>
    <xdr:to>
      <xdr:col>1</xdr:col>
      <xdr:colOff>948268</xdr:colOff>
      <xdr:row>1</xdr:row>
      <xdr:rowOff>169700</xdr:rowOff>
    </xdr:to>
    <xdr:pic>
      <xdr:nvPicPr>
        <xdr:cNvPr id="7" name="Picture 6"/>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696" t="20014" r="8696" b="25407"/>
        <a:stretch/>
      </xdr:blipFill>
      <xdr:spPr>
        <a:xfrm>
          <a:off x="84667" y="0"/>
          <a:ext cx="1587501" cy="379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4</xdr:col>
      <xdr:colOff>295275</xdr:colOff>
      <xdr:row>0</xdr:row>
      <xdr:rowOff>238125</xdr:rowOff>
    </xdr:from>
    <xdr:to>
      <xdr:col>6</xdr:col>
      <xdr:colOff>342900</xdr:colOff>
      <xdr:row>0</xdr:row>
      <xdr:rowOff>590550</xdr:rowOff>
    </xdr:to>
    <xdr:pic macro="[0]!AddAssetToTracker">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476750" y="238125"/>
          <a:ext cx="1419225" cy="3524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57150</xdr:colOff>
      <xdr:row>21</xdr:row>
      <xdr:rowOff>157162</xdr:rowOff>
    </xdr:from>
    <xdr:to>
      <xdr:col>13</xdr:col>
      <xdr:colOff>0</xdr:colOff>
      <xdr:row>42</xdr:row>
      <xdr:rowOff>152400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5</xdr:col>
      <xdr:colOff>95250</xdr:colOff>
      <xdr:row>5</xdr:row>
      <xdr:rowOff>95250</xdr:rowOff>
    </xdr:from>
    <xdr:to>
      <xdr:col>16</xdr:col>
      <xdr:colOff>457200</xdr:colOff>
      <xdr:row>32</xdr:row>
      <xdr:rowOff>180975</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OnLoad="1" refreshedBy="Theodore Xavier" refreshedDate="43774.72510891204" createdVersion="4" refreshedVersion="6" minRefreshableVersion="3" recordCount="36">
  <cacheSource type="worksheet">
    <worksheetSource name="Outages"/>
  </cacheSource>
  <cacheFields count="8">
    <cacheField name="Outage _x000a_ID" numFmtId="0">
      <sharedItems/>
    </cacheField>
    <cacheField name="Site" numFmtId="0">
      <sharedItems containsBlank="1" count="5">
        <s v="Bayswater"/>
        <s v="Liddell "/>
        <s v="Vales Pt"/>
        <s v="Yallourn"/>
        <m/>
      </sharedItems>
    </cacheField>
    <cacheField name="Unit" numFmtId="0">
      <sharedItems containsString="0" containsBlank="1" containsNumber="1" containsInteger="1" minValue="1" maxValue="6" count="7">
        <n v="1"/>
        <n v="2"/>
        <n v="3"/>
        <n v="6"/>
        <n v="5"/>
        <n v="4"/>
        <m/>
      </sharedItems>
    </cacheField>
    <cacheField name="Start Date" numFmtId="14">
      <sharedItems containsNonDate="0" containsDate="1" containsString="0" containsBlank="1" minDate="2018-03-01T00:00:00" maxDate="2018-12-02T00:00:00" count="11">
        <d v="2018-04-01T00:00:00"/>
        <d v="2018-05-01T00:00:00"/>
        <d v="2018-08-01T00:00:00"/>
        <d v="2018-10-21T00:00:00"/>
        <d v="2018-03-01T00:00:00"/>
        <d v="2018-08-05T00:00:00"/>
        <d v="2018-11-01T00:00:00"/>
        <d v="2018-12-01T00:00:00"/>
        <d v="2018-08-27T00:00:00"/>
        <d v="2018-07-01T00:00:00"/>
        <m/>
      </sharedItems>
    </cacheField>
    <cacheField name="Duration (Days)" numFmtId="0">
      <sharedItems containsString="0" containsBlank="1" containsNumber="1" containsInteger="1" minValue="2" maxValue="84"/>
    </cacheField>
    <cacheField name="End Date" numFmtId="14">
      <sharedItems containsDate="1" containsMixedTypes="1" minDate="2018-03-15T00:00:00" maxDate="2018-12-16T00:00:00"/>
    </cacheField>
    <cacheField name="TIC Invovlement" numFmtId="0">
      <sharedItems containsBlank="1"/>
    </cacheField>
    <cacheField name="Scope"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6">
  <r>
    <s v="Out000001"/>
    <x v="0"/>
    <x v="0"/>
    <x v="0"/>
    <n v="84"/>
    <d v="2018-06-24T00:00:00"/>
    <s v="Major Involvement"/>
    <s v="HP, IP, LP, Gen, AUX"/>
  </r>
  <r>
    <s v="Out000002"/>
    <x v="0"/>
    <x v="1"/>
    <x v="1"/>
    <n v="14"/>
    <d v="2018-05-15T00:00:00"/>
    <s v="Major Involvement"/>
    <s v="IP and LPA Balance"/>
  </r>
  <r>
    <s v="Out000003"/>
    <x v="0"/>
    <x v="2"/>
    <x v="2"/>
    <n v="14"/>
    <d v="2018-08-15T00:00:00"/>
    <s v="Major Involvement"/>
    <m/>
  </r>
  <r>
    <s v="Out000004"/>
    <x v="0"/>
    <x v="1"/>
    <x v="3"/>
    <n v="16"/>
    <d v="2018-11-06T00:00:00"/>
    <s v="Major Involvement"/>
    <s v="LPA Balance"/>
  </r>
  <r>
    <s v="Out000005"/>
    <x v="1"/>
    <x v="2"/>
    <x v="2"/>
    <n v="20"/>
    <d v="2018-08-21T00:00:00"/>
    <s v="Major Involvement"/>
    <s v="Major Overhaul"/>
  </r>
  <r>
    <s v="Out000006"/>
    <x v="2"/>
    <x v="3"/>
    <x v="4"/>
    <n v="14"/>
    <d v="2018-03-15T00:00:00"/>
    <s v="Minor Involvement"/>
    <s v="Boiler Clean"/>
  </r>
  <r>
    <s v="Out000007"/>
    <x v="2"/>
    <x v="4"/>
    <x v="5"/>
    <n v="45"/>
    <d v="2018-09-19T00:00:00"/>
    <s v="Minor Involvement"/>
    <s v="Vales, Boiler"/>
  </r>
  <r>
    <s v="Out000008"/>
    <x v="3"/>
    <x v="0"/>
    <x v="1"/>
    <n v="14"/>
    <d v="2018-05-15T00:00:00"/>
    <s v="No Involvement"/>
    <s v="Boiler Clean"/>
  </r>
  <r>
    <s v="Out000009"/>
    <x v="3"/>
    <x v="0"/>
    <x v="6"/>
    <n v="14"/>
    <d v="2018-11-15T00:00:00"/>
    <s v="No Involvement"/>
    <s v="Boiler Clean"/>
  </r>
  <r>
    <s v="Out000010"/>
    <x v="3"/>
    <x v="1"/>
    <x v="0"/>
    <n v="14"/>
    <d v="2018-04-15T00:00:00"/>
    <s v="No Involvement"/>
    <s v="Boiler Clean"/>
  </r>
  <r>
    <s v="Out000011"/>
    <x v="3"/>
    <x v="1"/>
    <x v="7"/>
    <n v="14"/>
    <d v="2018-12-15T00:00:00"/>
    <s v="No Involvement"/>
    <s v="Boiler Clean"/>
  </r>
  <r>
    <s v="Out000012"/>
    <x v="3"/>
    <x v="2"/>
    <x v="8"/>
    <n v="45"/>
    <d v="2018-10-11T00:00:00"/>
    <s v="Major Involvement"/>
    <s v="LP, Gen, Aux"/>
  </r>
  <r>
    <s v="Out000013"/>
    <x v="3"/>
    <x v="5"/>
    <x v="4"/>
    <n v="14"/>
    <d v="2018-03-15T00:00:00"/>
    <s v="No Involvement"/>
    <s v="Boiler Clean"/>
  </r>
  <r>
    <s v="Out000014"/>
    <x v="3"/>
    <x v="5"/>
    <x v="9"/>
    <n v="2"/>
    <d v="2018-07-03T00:00:00"/>
    <s v="No Involvement"/>
    <s v="Boiler Clean"/>
  </r>
  <r>
    <s v="Out000015"/>
    <x v="4"/>
    <x v="6"/>
    <x v="10"/>
    <m/>
    <s v=""/>
    <m/>
    <m/>
  </r>
  <r>
    <s v="Out000016"/>
    <x v="4"/>
    <x v="6"/>
    <x v="10"/>
    <m/>
    <s v=""/>
    <m/>
    <m/>
  </r>
  <r>
    <s v="Out000017"/>
    <x v="4"/>
    <x v="6"/>
    <x v="10"/>
    <m/>
    <s v=""/>
    <m/>
    <m/>
  </r>
  <r>
    <s v="Out000018"/>
    <x v="4"/>
    <x v="6"/>
    <x v="10"/>
    <m/>
    <s v=""/>
    <m/>
    <m/>
  </r>
  <r>
    <s v="Out000019"/>
    <x v="4"/>
    <x v="6"/>
    <x v="10"/>
    <m/>
    <s v=""/>
    <m/>
    <m/>
  </r>
  <r>
    <s v="Out000020"/>
    <x v="4"/>
    <x v="6"/>
    <x v="10"/>
    <m/>
    <s v=""/>
    <m/>
    <m/>
  </r>
  <r>
    <s v="Out000021"/>
    <x v="4"/>
    <x v="6"/>
    <x v="10"/>
    <m/>
    <s v=""/>
    <m/>
    <m/>
  </r>
  <r>
    <s v="Out000022"/>
    <x v="4"/>
    <x v="6"/>
    <x v="10"/>
    <m/>
    <s v=""/>
    <m/>
    <m/>
  </r>
  <r>
    <s v="Out000023"/>
    <x v="4"/>
    <x v="6"/>
    <x v="10"/>
    <m/>
    <s v=""/>
    <m/>
    <m/>
  </r>
  <r>
    <s v="Out000024"/>
    <x v="4"/>
    <x v="6"/>
    <x v="10"/>
    <m/>
    <s v=""/>
    <m/>
    <m/>
  </r>
  <r>
    <s v="Out000025"/>
    <x v="4"/>
    <x v="6"/>
    <x v="10"/>
    <m/>
    <s v=""/>
    <m/>
    <m/>
  </r>
  <r>
    <s v="Out000026"/>
    <x v="4"/>
    <x v="6"/>
    <x v="10"/>
    <m/>
    <s v=""/>
    <m/>
    <m/>
  </r>
  <r>
    <s v="Out000027"/>
    <x v="4"/>
    <x v="6"/>
    <x v="10"/>
    <m/>
    <s v=""/>
    <m/>
    <m/>
  </r>
  <r>
    <s v="Out000028"/>
    <x v="4"/>
    <x v="6"/>
    <x v="10"/>
    <m/>
    <s v=""/>
    <m/>
    <m/>
  </r>
  <r>
    <s v="Out000029"/>
    <x v="4"/>
    <x v="6"/>
    <x v="10"/>
    <m/>
    <s v=""/>
    <m/>
    <m/>
  </r>
  <r>
    <s v="Out000030"/>
    <x v="4"/>
    <x v="6"/>
    <x v="10"/>
    <m/>
    <s v=""/>
    <m/>
    <m/>
  </r>
  <r>
    <s v="Out000031"/>
    <x v="4"/>
    <x v="6"/>
    <x v="10"/>
    <m/>
    <s v=""/>
    <m/>
    <m/>
  </r>
  <r>
    <s v="Out000032"/>
    <x v="4"/>
    <x v="6"/>
    <x v="10"/>
    <m/>
    <s v=""/>
    <m/>
    <m/>
  </r>
  <r>
    <s v="Out000033"/>
    <x v="4"/>
    <x v="6"/>
    <x v="10"/>
    <m/>
    <s v=""/>
    <m/>
    <m/>
  </r>
  <r>
    <s v="Out000034"/>
    <x v="4"/>
    <x v="6"/>
    <x v="10"/>
    <m/>
    <s v=""/>
    <m/>
    <m/>
  </r>
  <r>
    <s v="Out000035"/>
    <x v="4"/>
    <x v="6"/>
    <x v="10"/>
    <m/>
    <s v=""/>
    <m/>
    <m/>
  </r>
  <r>
    <s v="Out000036"/>
    <x v="4"/>
    <x v="6"/>
    <x v="10"/>
    <m/>
    <s v=""/>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Ouatge Pivot" cacheId="5" applyNumberFormats="0" applyBorderFormats="0" applyFontFormats="0" applyPatternFormats="0" applyAlignmentFormats="0" applyWidthHeightFormats="1" dataCaption="Values" updatedVersion="6" minRefreshableVersion="3" useAutoFormatting="1" itemPrintTitles="1" createdVersion="4" indent="0" outline="1" outlineData="1" multipleFieldFilters="0" chartFormat="1">
  <location ref="A3:M21" firstHeaderRow="1" firstDataRow="2" firstDataCol="1"/>
  <pivotFields count="8">
    <pivotField showAll="0"/>
    <pivotField axis="axisRow" showAll="0">
      <items count="6">
        <item x="0"/>
        <item x="1"/>
        <item x="2"/>
        <item x="3"/>
        <item x="4"/>
        <item t="default"/>
      </items>
    </pivotField>
    <pivotField axis="axisRow" showAll="0">
      <items count="8">
        <item x="0"/>
        <item x="1"/>
        <item x="2"/>
        <item x="5"/>
        <item x="4"/>
        <item x="3"/>
        <item x="6"/>
        <item t="default"/>
      </items>
    </pivotField>
    <pivotField axis="axisCol" showAll="0">
      <items count="12">
        <item x="4"/>
        <item x="0"/>
        <item x="1"/>
        <item x="9"/>
        <item x="2"/>
        <item x="5"/>
        <item x="8"/>
        <item x="3"/>
        <item x="6"/>
        <item x="7"/>
        <item x="10"/>
        <item t="default"/>
      </items>
    </pivotField>
    <pivotField dataField="1" showAll="0"/>
    <pivotField showAll="0"/>
    <pivotField showAll="0"/>
    <pivotField showAll="0"/>
  </pivotFields>
  <rowFields count="2">
    <field x="1"/>
    <field x="2"/>
  </rowFields>
  <rowItems count="17">
    <i>
      <x/>
    </i>
    <i r="1">
      <x/>
    </i>
    <i r="1">
      <x v="1"/>
    </i>
    <i r="1">
      <x v="2"/>
    </i>
    <i>
      <x v="1"/>
    </i>
    <i r="1">
      <x v="2"/>
    </i>
    <i>
      <x v="2"/>
    </i>
    <i r="1">
      <x v="4"/>
    </i>
    <i r="1">
      <x v="5"/>
    </i>
    <i>
      <x v="3"/>
    </i>
    <i r="1">
      <x/>
    </i>
    <i r="1">
      <x v="1"/>
    </i>
    <i r="1">
      <x v="2"/>
    </i>
    <i r="1">
      <x v="3"/>
    </i>
    <i>
      <x v="4"/>
    </i>
    <i r="1">
      <x v="6"/>
    </i>
    <i t="grand">
      <x/>
    </i>
  </rowItems>
  <colFields count="1">
    <field x="3"/>
  </colFields>
  <colItems count="12">
    <i>
      <x/>
    </i>
    <i>
      <x v="1"/>
    </i>
    <i>
      <x v="2"/>
    </i>
    <i>
      <x v="3"/>
    </i>
    <i>
      <x v="4"/>
    </i>
    <i>
      <x v="5"/>
    </i>
    <i>
      <x v="6"/>
    </i>
    <i>
      <x v="7"/>
    </i>
    <i>
      <x v="8"/>
    </i>
    <i>
      <x v="9"/>
    </i>
    <i>
      <x v="10"/>
    </i>
    <i t="grand">
      <x/>
    </i>
  </colItems>
  <dataFields count="1">
    <dataField name="Min of Duration (Days)" fld="4" subtotal="min" baseField="1" baseItem="0"/>
  </dataFields>
  <chartFormats count="11">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2">
          <reference field="4294967294" count="1" selected="0">
            <x v="0"/>
          </reference>
          <reference field="3" count="1" selected="0">
            <x v="4"/>
          </reference>
        </references>
      </pivotArea>
    </chartFormat>
    <chartFormat chart="0" format="5" series="1">
      <pivotArea type="data" outline="0" fieldPosition="0">
        <references count="2">
          <reference field="4294967294" count="1" selected="0">
            <x v="0"/>
          </reference>
          <reference field="3" count="1" selected="0">
            <x v="5"/>
          </reference>
        </references>
      </pivotArea>
    </chartFormat>
    <chartFormat chart="0" format="6" series="1">
      <pivotArea type="data" outline="0" fieldPosition="0">
        <references count="2">
          <reference field="4294967294" count="1" selected="0">
            <x v="0"/>
          </reference>
          <reference field="3" count="1" selected="0">
            <x v="6"/>
          </reference>
        </references>
      </pivotArea>
    </chartFormat>
    <chartFormat chart="0" format="7" series="1">
      <pivotArea type="data" outline="0" fieldPosition="0">
        <references count="2">
          <reference field="4294967294" count="1" selected="0">
            <x v="0"/>
          </reference>
          <reference field="3" count="1" selected="0">
            <x v="7"/>
          </reference>
        </references>
      </pivotArea>
    </chartFormat>
    <chartFormat chart="0" format="8" series="1">
      <pivotArea type="data" outline="0" fieldPosition="0">
        <references count="2">
          <reference field="4294967294" count="1" selected="0">
            <x v="0"/>
          </reference>
          <reference field="3" count="1" selected="0">
            <x v="8"/>
          </reference>
        </references>
      </pivotArea>
    </chartFormat>
    <chartFormat chart="0" format="9" series="1">
      <pivotArea type="data" outline="0" fieldPosition="0">
        <references count="2">
          <reference field="4294967294" count="1" selected="0">
            <x v="0"/>
          </reference>
          <reference field="3" count="1" selected="0">
            <x v="9"/>
          </reference>
        </references>
      </pivotArea>
    </chartFormat>
    <chartFormat chart="0" format="10" series="1">
      <pivotArea type="data" outline="0" fieldPosition="0">
        <references count="2">
          <reference field="4294967294" count="1" selected="0">
            <x v="0"/>
          </reference>
          <reference field="3" count="1" selected="0">
            <x v="1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2" name="Table2" displayName="Table2" ref="B4:M82" totalsRowShown="0" headerRowDxfId="24" dataDxfId="23" tableBorderDxfId="22">
  <autoFilter ref="B4:M82"/>
  <sortState ref="B5:K63">
    <sortCondition ref="C4:C63"/>
  </sortState>
  <tableColumns count="12">
    <tableColumn id="1" name="Outage ID" dataDxfId="21"/>
    <tableColumn id="2" name="Outage Name" dataDxfId="20"/>
    <tableColumn id="3" name="Site" dataDxfId="19"/>
    <tableColumn id="4" name="Unit" dataDxfId="18"/>
    <tableColumn id="12" name="Country" dataDxfId="17"/>
    <tableColumn id="11" name="Type" dataDxfId="16"/>
    <tableColumn id="5" name="Start Date" dataDxfId="15"/>
    <tableColumn id="6" name="End Date" dataDxfId="14"/>
    <tableColumn id="7" name="Duration (Days)" dataDxfId="13"/>
    <tableColumn id="8" name="Outage Type" dataDxfId="12"/>
    <tableColumn id="9" name="Scope" dataDxfId="11"/>
    <tableColumn id="10" name="TIC Involvement" dataDxfId="10"/>
  </tableColumns>
  <tableStyleInfo name="TableStyleMedium21" showFirstColumn="0" showLastColumn="0" showRowStripes="1" showColumnStripes="0"/>
</table>
</file>

<file path=xl/tables/table2.xml><?xml version="1.0" encoding="utf-8"?>
<table xmlns="http://schemas.openxmlformats.org/spreadsheetml/2006/main" id="3" name="Asset" displayName="Asset" ref="A1:D97" totalsRowShown="0" headerRowDxfId="9" dataDxfId="7" headerRowBorderDxfId="8" tableBorderDxfId="6" totalsRowBorderDxfId="5">
  <autoFilter ref="A1:D97"/>
  <tableColumns count="4">
    <tableColumn id="1" name="Asset Name" dataDxfId="4" dataCellStyle="Normal 8"/>
    <tableColumn id="2" name="Unit" dataDxfId="3" dataCellStyle="Normal 8"/>
    <tableColumn id="3" name="Country" dataDxfId="2" dataCellStyle="Normal 8"/>
    <tableColumn id="4" name="Type" dataDxfId="1" dataCellStyle="Normal 8"/>
  </tableColumns>
  <tableStyleInfo name="TableStyleLight8" showFirstColumn="0" showLastColumn="0" showRowStripes="1" showColumnStripes="0"/>
</table>
</file>

<file path=xl/tables/table3.xml><?xml version="1.0" encoding="utf-8"?>
<table xmlns="http://schemas.openxmlformats.org/spreadsheetml/2006/main" id="1" name="Outages" displayName="Outages" ref="A2:H38" totalsRowShown="0">
  <autoFilter ref="A2:H38"/>
  <tableColumns count="8">
    <tableColumn id="1" name="Outage _x000a_ID"/>
    <tableColumn id="2" name="Site"/>
    <tableColumn id="3" name="Unit"/>
    <tableColumn id="4" name="Start Date"/>
    <tableColumn id="5" name="Duration (Days)"/>
    <tableColumn id="6" name="End Date" dataDxfId="0">
      <calculatedColumnFormula>IF(E3="","",D3+E3)</calculatedColumnFormula>
    </tableColumn>
    <tableColumn id="7" name="TIC Invovlement"/>
    <tableColumn id="8" name="Scope"/>
  </tableColumns>
  <tableStyleInfo name="TableStyleMedium2" showFirstColumn="0" showLastColumn="0" showRowStripes="1" showColumnStripes="0"/>
</table>
</file>

<file path=xl/theme/theme1.xml><?xml version="1.0" encoding="utf-8"?>
<a:theme xmlns:a="http://schemas.openxmlformats.org/drawingml/2006/main" name="Slipstream">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Slipstream">
      <a:majorFont>
        <a:latin typeface="Trebuchet MS"/>
        <a:ea typeface=""/>
        <a:cs typeface=""/>
        <a:font script="Jpan" typeface="HGｺﾞｼｯｸM"/>
        <a:font script="Hang" typeface="HY그래픽B"/>
        <a:font script="Hans" typeface="方正姚体"/>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a:ea typeface=""/>
        <a:cs typeface=""/>
        <a:font script="Jpan" typeface="HGｺﾞｼｯｸM"/>
        <a:font script="Hang" typeface="HY그래픽M"/>
        <a:font script="Hans" typeface="方正姚体"/>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Slipstream">
      <a:fillStyleLst>
        <a:solidFill>
          <a:schemeClr val="phClr"/>
        </a:solidFill>
        <a:gradFill rotWithShape="1">
          <a:gsLst>
            <a:gs pos="28000">
              <a:schemeClr val="phClr">
                <a:tint val="18000"/>
                <a:satMod val="120000"/>
                <a:lumMod val="88000"/>
              </a:schemeClr>
            </a:gs>
            <a:gs pos="100000">
              <a:schemeClr val="phClr">
                <a:tint val="40000"/>
                <a:satMod val="100000"/>
                <a:lumMod val="78000"/>
              </a:schemeClr>
            </a:gs>
          </a:gsLst>
          <a:lin ang="5400000" scaled="0"/>
        </a:gradFill>
        <a:gradFill rotWithShape="1">
          <a:gsLst>
            <a:gs pos="0">
              <a:schemeClr val="phClr">
                <a:lumMod val="95000"/>
              </a:schemeClr>
            </a:gs>
            <a:gs pos="100000">
              <a:schemeClr val="phClr">
                <a:shade val="82000"/>
                <a:satMod val="125000"/>
                <a:lumMod val="74000"/>
              </a:schemeClr>
            </a:gs>
          </a:gsLst>
          <a:lin ang="5400000" scaled="0"/>
        </a:gradFill>
      </a:fillStyleLst>
      <a:lnStyleLst>
        <a:ln w="9525" cap="flat" cmpd="sng" algn="ctr">
          <a:solidFill>
            <a:schemeClr val="phClr"/>
          </a:solidFill>
          <a:prstDash val="solid"/>
        </a:ln>
        <a:ln w="15875" cap="flat" cmpd="sng" algn="ctr">
          <a:solidFill>
            <a:schemeClr val="phClr">
              <a:shade val="75000"/>
              <a:satMod val="125000"/>
              <a:lumMod val="75000"/>
            </a:schemeClr>
          </a:solidFill>
          <a:prstDash val="solid"/>
        </a:ln>
        <a:ln w="25400" cap="flat" cmpd="sng" algn="ctr">
          <a:solidFill>
            <a:schemeClr val="phClr"/>
          </a:solidFill>
          <a:prstDash val="solid"/>
        </a:ln>
      </a:lnStyleLst>
      <a:effectStyleLst>
        <a:effectStyle>
          <a:effectLst>
            <a:outerShdw blurRad="63500" dist="50800" dir="5400000" sx="98000" sy="98000" rotWithShape="0">
              <a:srgbClr val="000000">
                <a:alpha val="20000"/>
              </a:srgbClr>
            </a:outerShdw>
          </a:effectLst>
        </a:effectStyle>
        <a:effectStyle>
          <a:effectLst>
            <a:outerShdw blurRad="40005" dist="22984" dir="5400000" rotWithShape="0">
              <a:srgbClr val="000000">
                <a:alpha val="45000"/>
              </a:srgbClr>
            </a:outerShdw>
          </a:effectLst>
          <a:scene3d>
            <a:camera prst="orthographicFront">
              <a:rot lat="0" lon="0" rev="0"/>
            </a:camera>
            <a:lightRig rig="balanced" dir="tr"/>
          </a:scene3d>
          <a:sp3d prstMaterial="matte">
            <a:bevelT w="19050" h="38100"/>
          </a:sp3d>
        </a:effectStyle>
        <a:effectStyle>
          <a:effectLst>
            <a:reflection blurRad="38100" stA="26000" endPos="23000" dist="25400" dir="5400000" sy="-100000" rotWithShape="0"/>
          </a:effectLst>
          <a:scene3d>
            <a:camera prst="orthographicFront">
              <a:rot lat="0" lon="0" rev="0"/>
            </a:camera>
            <a:lightRig rig="balanced" dir="tr"/>
          </a:scene3d>
          <a:sp3d contourW="14605" prstMaterial="plastic">
            <a:bevelT w="50800"/>
            <a:contourClr>
              <a:schemeClr val="phClr">
                <a:shade val="30000"/>
                <a:satMod val="120000"/>
              </a:schemeClr>
            </a:contourClr>
          </a:sp3d>
        </a:effectStyle>
      </a:effectStyleLst>
      <a:bgFillStyleLst>
        <a:solidFill>
          <a:schemeClr val="phClr"/>
        </a:solidFill>
        <a:gradFill rotWithShape="1">
          <a:gsLst>
            <a:gs pos="0">
              <a:schemeClr val="phClr">
                <a:tint val="98000"/>
                <a:shade val="90000"/>
                <a:satMod val="160000"/>
                <a:lumMod val="100000"/>
              </a:schemeClr>
            </a:gs>
            <a:gs pos="60000">
              <a:schemeClr val="phClr">
                <a:tint val="95000"/>
                <a:shade val="100000"/>
                <a:satMod val="130000"/>
                <a:lumMod val="130000"/>
              </a:schemeClr>
            </a:gs>
            <a:gs pos="100000">
              <a:schemeClr val="phClr">
                <a:tint val="97000"/>
                <a:shade val="100000"/>
                <a:hueMod val="100000"/>
                <a:satMod val="140000"/>
                <a:lumMod val="80000"/>
              </a:schemeClr>
            </a:gs>
          </a:gsLst>
          <a:path path="circle">
            <a:fillToRect l="20000" t="10000" r="20000" b="60000"/>
          </a:path>
        </a:gradFill>
        <a:gradFill rotWithShape="1">
          <a:gsLst>
            <a:gs pos="0">
              <a:schemeClr val="phClr">
                <a:tint val="94000"/>
                <a:satMod val="160000"/>
                <a:lumMod val="160000"/>
              </a:schemeClr>
            </a:gs>
            <a:gs pos="42000">
              <a:schemeClr val="phClr">
                <a:tint val="94000"/>
                <a:shade val="94000"/>
                <a:satMod val="160000"/>
                <a:lumMod val="130000"/>
              </a:schemeClr>
            </a:gs>
            <a:gs pos="100000">
              <a:schemeClr val="phClr">
                <a:tint val="97000"/>
                <a:shade val="94000"/>
                <a:satMod val="180000"/>
                <a:lumMod val="84000"/>
              </a:schemeClr>
            </a:gs>
          </a:gsLst>
          <a:path path="circle">
            <a:fillToRect l="24000" t="44000" r="24000" b="12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table" Target="../tables/table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CM2182"/>
  <sheetViews>
    <sheetView tabSelected="1" zoomScale="90" zoomScaleNormal="90" workbookViewId="0">
      <pane xSplit="17" ySplit="6" topLeftCell="R7" activePane="bottomRight" state="frozen"/>
      <selection pane="topRight" activeCell="R1" sqref="R1"/>
      <selection pane="bottomLeft" activeCell="A7" sqref="A7"/>
      <selection pane="bottomRight" activeCell="V22" sqref="V22"/>
    </sheetView>
  </sheetViews>
  <sheetFormatPr defaultRowHeight="16.5" x14ac:dyDescent="0.3"/>
  <cols>
    <col min="1" max="1" width="10.5" customWidth="1"/>
    <col min="2" max="2" width="23.5" style="113" customWidth="1"/>
    <col min="3" max="5" width="10.75" style="114" customWidth="1"/>
    <col min="6" max="17" width="6" style="114" hidden="1" customWidth="1"/>
    <col min="18" max="65" width="6" style="114" customWidth="1"/>
    <col min="66" max="88" width="6.125" style="114" customWidth="1"/>
    <col min="89" max="89" width="6.125" style="115" customWidth="1"/>
  </cols>
  <sheetData>
    <row r="1" spans="1:91" x14ac:dyDescent="0.3">
      <c r="A1" s="85"/>
      <c r="B1" s="83"/>
      <c r="C1" s="84"/>
      <c r="D1" s="84"/>
      <c r="E1" s="84"/>
      <c r="F1" s="84"/>
      <c r="G1" s="84"/>
      <c r="H1" s="84"/>
      <c r="I1" s="84"/>
      <c r="J1" s="84"/>
      <c r="K1" s="84"/>
      <c r="L1" s="84"/>
      <c r="M1" s="84"/>
      <c r="N1" s="84"/>
      <c r="O1" s="85"/>
      <c r="P1" s="85"/>
      <c r="Q1" s="85"/>
      <c r="R1" s="85"/>
      <c r="S1" s="85"/>
      <c r="T1" s="85"/>
      <c r="U1" s="85"/>
      <c r="V1" s="85"/>
      <c r="W1" s="85"/>
      <c r="X1" s="85"/>
      <c r="Y1" s="85"/>
      <c r="Z1" s="85"/>
      <c r="AA1" s="85"/>
      <c r="AB1" s="85"/>
      <c r="AC1" s="85"/>
      <c r="AD1" s="85"/>
      <c r="AE1" s="85"/>
      <c r="AF1" s="85"/>
      <c r="AG1" s="85"/>
      <c r="AH1" s="85"/>
      <c r="AI1" s="85"/>
      <c r="AJ1" s="85"/>
      <c r="AK1" s="85"/>
      <c r="AL1" s="85"/>
      <c r="AM1" s="85"/>
      <c r="AN1" s="85"/>
      <c r="AO1" s="85"/>
      <c r="AP1" s="85"/>
      <c r="AQ1" s="85"/>
      <c r="AR1" s="85"/>
      <c r="AS1" s="85"/>
      <c r="AT1" s="85"/>
      <c r="AU1" s="85"/>
      <c r="AV1" s="85"/>
      <c r="AW1" s="85"/>
      <c r="AX1" s="85"/>
      <c r="AY1" s="85"/>
      <c r="AZ1" s="85"/>
      <c r="BA1" s="85"/>
      <c r="BB1" s="85"/>
      <c r="BC1" s="85"/>
      <c r="BD1" s="85"/>
      <c r="BE1" s="85"/>
      <c r="BF1" s="85"/>
      <c r="BG1" s="85"/>
      <c r="BH1" s="85"/>
      <c r="BI1" s="85"/>
      <c r="BJ1" s="85"/>
      <c r="BK1" s="85"/>
      <c r="BL1" s="85"/>
      <c r="BM1" s="85"/>
      <c r="BN1" s="85"/>
      <c r="BO1" s="85"/>
      <c r="BP1" s="85"/>
      <c r="BQ1" s="85"/>
      <c r="BR1" s="85"/>
      <c r="BS1" s="85"/>
      <c r="BT1" s="85"/>
      <c r="BU1" s="85"/>
      <c r="BV1" s="85"/>
      <c r="BW1" s="85"/>
      <c r="BX1" s="85"/>
      <c r="BY1" s="85"/>
      <c r="BZ1" s="85"/>
      <c r="CA1" s="85"/>
      <c r="CB1" s="85"/>
      <c r="CC1" s="85"/>
      <c r="CD1" s="85"/>
      <c r="CE1" s="85"/>
      <c r="CF1" s="85"/>
      <c r="CG1" s="85"/>
      <c r="CH1" s="85"/>
      <c r="CI1" s="85"/>
      <c r="CJ1" s="85"/>
      <c r="CK1" s="85"/>
      <c r="CL1" s="85"/>
      <c r="CM1" s="85"/>
    </row>
    <row r="2" spans="1:91" x14ac:dyDescent="0.3">
      <c r="A2" s="85"/>
      <c r="B2" s="83"/>
      <c r="C2" s="84"/>
      <c r="D2" s="84"/>
      <c r="E2" s="84"/>
      <c r="F2" s="84"/>
      <c r="G2" s="84"/>
      <c r="H2" s="84"/>
      <c r="I2" s="84"/>
      <c r="J2" s="84"/>
      <c r="K2" s="84"/>
      <c r="L2" s="84"/>
      <c r="M2" s="84"/>
      <c r="N2" s="84"/>
      <c r="O2" s="85"/>
      <c r="P2" s="85"/>
      <c r="Q2" s="85"/>
      <c r="R2" s="85"/>
      <c r="S2" s="85"/>
      <c r="T2" s="85"/>
      <c r="U2" s="85"/>
      <c r="V2" s="85"/>
      <c r="W2" s="85"/>
      <c r="X2" s="85"/>
      <c r="Y2" s="85"/>
      <c r="Z2" s="85"/>
      <c r="AA2" s="85"/>
      <c r="AB2" s="85"/>
      <c r="AC2" s="85"/>
      <c r="AD2" s="85"/>
      <c r="AE2" s="85"/>
      <c r="AF2" s="85"/>
      <c r="AG2" s="85"/>
      <c r="AH2" s="85"/>
      <c r="AI2" s="85"/>
      <c r="AJ2" s="85"/>
      <c r="AK2" s="85"/>
      <c r="AL2" s="85"/>
      <c r="AM2" s="85"/>
      <c r="AN2" s="85"/>
      <c r="AO2" s="85"/>
      <c r="AP2" s="85"/>
      <c r="AQ2" s="85"/>
      <c r="AR2" s="85"/>
      <c r="AS2" s="85"/>
      <c r="AT2" s="85"/>
      <c r="AU2" s="85"/>
      <c r="AV2" s="85"/>
      <c r="AW2" s="85"/>
      <c r="AX2" s="85"/>
      <c r="AY2" s="85"/>
      <c r="AZ2" s="85"/>
      <c r="BA2" s="85"/>
      <c r="BB2" s="85"/>
      <c r="BC2" s="85"/>
      <c r="BD2" s="85"/>
      <c r="BE2" s="85"/>
      <c r="BF2" s="85"/>
      <c r="BG2" s="85"/>
      <c r="BH2" s="85"/>
      <c r="BI2" s="85"/>
      <c r="BJ2" s="85"/>
      <c r="BK2" s="85"/>
      <c r="BL2" s="85"/>
      <c r="BM2" s="85"/>
      <c r="BN2" s="85"/>
      <c r="BO2" s="85"/>
      <c r="BP2" s="85"/>
      <c r="BQ2" s="85"/>
      <c r="BR2" s="85"/>
      <c r="BS2" s="85"/>
      <c r="BT2" s="85"/>
      <c r="BU2" s="85"/>
      <c r="BV2" s="85"/>
      <c r="BW2" s="85"/>
      <c r="BX2" s="85"/>
      <c r="BY2" s="85"/>
      <c r="BZ2" s="85"/>
      <c r="CA2" s="85"/>
      <c r="CB2" s="85"/>
      <c r="CC2" s="85"/>
      <c r="CD2" s="85"/>
      <c r="CE2" s="85"/>
      <c r="CF2" s="85"/>
      <c r="CG2" s="85"/>
      <c r="CH2" s="85"/>
      <c r="CI2" s="85"/>
      <c r="CJ2" s="85"/>
      <c r="CK2" s="85"/>
      <c r="CL2" s="85"/>
      <c r="CM2" s="85"/>
    </row>
    <row r="3" spans="1:91" ht="22.5" customHeight="1" x14ac:dyDescent="0.3">
      <c r="A3" s="85"/>
      <c r="B3" s="83"/>
      <c r="C3" s="84"/>
      <c r="D3" s="84"/>
      <c r="E3" s="84"/>
      <c r="F3" s="84"/>
      <c r="G3" s="84"/>
      <c r="H3" s="84"/>
      <c r="I3" s="84"/>
      <c r="J3" s="84"/>
      <c r="K3" s="84"/>
      <c r="L3" s="84"/>
      <c r="M3" s="84"/>
      <c r="N3" s="84"/>
      <c r="O3" s="85"/>
      <c r="P3" s="85"/>
      <c r="Q3" s="85"/>
      <c r="R3" s="85"/>
      <c r="S3" s="85"/>
      <c r="T3" s="85"/>
      <c r="U3" s="85"/>
      <c r="V3" s="85"/>
      <c r="W3" s="85"/>
      <c r="X3" s="85"/>
      <c r="Y3" s="85"/>
      <c r="Z3" s="85"/>
      <c r="AA3" s="85"/>
      <c r="AB3" s="85"/>
      <c r="AC3" s="85"/>
      <c r="AD3" s="85"/>
      <c r="AE3" s="85"/>
      <c r="AF3" s="85"/>
      <c r="AG3" s="85"/>
      <c r="AH3" s="85"/>
      <c r="AI3" s="85"/>
      <c r="AJ3" s="85"/>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5"/>
      <c r="BS3" s="85"/>
      <c r="BT3" s="85"/>
      <c r="BU3" s="85"/>
      <c r="BV3" s="85"/>
      <c r="BW3" s="85"/>
      <c r="BX3" s="85"/>
      <c r="BY3" s="85"/>
      <c r="BZ3" s="85"/>
      <c r="CA3" s="85"/>
      <c r="CB3" s="85"/>
      <c r="CC3" s="85"/>
      <c r="CD3" s="85"/>
      <c r="CE3" s="85"/>
      <c r="CF3" s="85"/>
      <c r="CG3" s="85"/>
      <c r="CH3" s="85"/>
      <c r="CI3" s="85"/>
      <c r="CJ3" s="85"/>
      <c r="CK3" s="85"/>
      <c r="CL3" s="85"/>
      <c r="CM3" s="85"/>
    </row>
    <row r="4" spans="1:91" ht="24.4" customHeight="1" thickBot="1" x14ac:dyDescent="0.35">
      <c r="A4" s="85"/>
      <c r="B4" s="85"/>
      <c r="C4" s="85"/>
      <c r="D4" s="85"/>
      <c r="E4" s="85"/>
      <c r="F4" s="85"/>
      <c r="G4" s="85"/>
      <c r="H4" s="85"/>
      <c r="I4" s="85"/>
      <c r="J4" s="85"/>
      <c r="K4" s="85"/>
      <c r="L4" s="85"/>
      <c r="M4" s="85"/>
      <c r="N4" s="85"/>
      <c r="O4" s="85"/>
      <c r="P4" s="85"/>
      <c r="Q4" s="85"/>
      <c r="R4" s="85"/>
      <c r="S4" s="85"/>
      <c r="T4" s="85"/>
      <c r="U4" s="85"/>
      <c r="V4" s="85"/>
      <c r="W4" s="85"/>
      <c r="X4" s="85"/>
      <c r="Y4" s="85"/>
      <c r="Z4" s="85"/>
      <c r="AA4" s="85"/>
      <c r="AB4" s="85"/>
      <c r="AC4" s="85"/>
      <c r="AD4" s="85"/>
      <c r="AE4" s="85"/>
      <c r="AF4" s="85"/>
      <c r="AG4" s="85"/>
      <c r="AH4" s="85"/>
      <c r="AI4" s="85"/>
      <c r="AJ4" s="85"/>
      <c r="AK4" s="85"/>
      <c r="AL4" s="85"/>
      <c r="AM4" s="85"/>
      <c r="AN4" s="85"/>
      <c r="AO4" s="85"/>
      <c r="AP4" s="85"/>
      <c r="AQ4" s="85"/>
      <c r="AR4" s="85"/>
      <c r="AS4" s="85"/>
      <c r="AT4" s="85"/>
      <c r="AU4" s="85"/>
      <c r="AV4" s="85"/>
      <c r="AW4" s="85"/>
      <c r="AX4" s="85"/>
      <c r="AY4" s="85"/>
      <c r="AZ4" s="85"/>
      <c r="BA4" s="85"/>
      <c r="BB4" s="85"/>
      <c r="BC4" s="85"/>
      <c r="BD4" s="85"/>
      <c r="BE4" s="85"/>
      <c r="BF4" s="85"/>
      <c r="BG4" s="85"/>
      <c r="BH4" s="85"/>
      <c r="BI4" s="85"/>
      <c r="BJ4" s="85"/>
      <c r="BK4" s="85"/>
      <c r="BL4" s="85"/>
      <c r="BM4" s="85"/>
      <c r="BN4" s="85"/>
      <c r="BO4" s="85"/>
      <c r="BP4" s="85"/>
      <c r="BQ4" s="85"/>
      <c r="BR4" s="85"/>
      <c r="BS4" s="85"/>
      <c r="BT4" s="85"/>
      <c r="BU4" s="85"/>
      <c r="BV4" s="85"/>
      <c r="BW4" s="85"/>
      <c r="BX4" s="85"/>
      <c r="BY4" s="85"/>
      <c r="BZ4" s="85"/>
      <c r="CA4" s="85"/>
      <c r="CB4" s="85"/>
      <c r="CC4" s="85"/>
      <c r="CD4" s="85"/>
      <c r="CE4" s="85"/>
      <c r="CF4" s="85"/>
      <c r="CG4" s="85"/>
      <c r="CH4" s="85"/>
      <c r="CI4" s="85"/>
      <c r="CJ4" s="85"/>
      <c r="CK4" s="85"/>
      <c r="CL4" s="85"/>
      <c r="CM4" s="85"/>
    </row>
    <row r="5" spans="1:91" ht="32.1" customHeight="1" thickTop="1" x14ac:dyDescent="0.35">
      <c r="A5" s="85"/>
      <c r="B5" s="259" t="s">
        <v>139</v>
      </c>
      <c r="C5" s="260"/>
      <c r="D5" s="212"/>
      <c r="E5" s="201"/>
      <c r="F5" s="230">
        <v>2018</v>
      </c>
      <c r="G5" s="230"/>
      <c r="H5" s="230"/>
      <c r="I5" s="230"/>
      <c r="J5" s="230"/>
      <c r="K5" s="230"/>
      <c r="L5" s="230"/>
      <c r="M5" s="230"/>
      <c r="N5" s="230"/>
      <c r="O5" s="230"/>
      <c r="P5" s="230"/>
      <c r="Q5" s="230"/>
      <c r="R5" s="254">
        <v>2019</v>
      </c>
      <c r="S5" s="255"/>
      <c r="T5" s="255"/>
      <c r="U5" s="255"/>
      <c r="V5" s="255"/>
      <c r="W5" s="255"/>
      <c r="X5" s="255"/>
      <c r="Y5" s="255"/>
      <c r="Z5" s="255"/>
      <c r="AA5" s="255"/>
      <c r="AB5" s="255"/>
      <c r="AC5" s="256"/>
      <c r="AD5" s="254">
        <v>2020</v>
      </c>
      <c r="AE5" s="255"/>
      <c r="AF5" s="255"/>
      <c r="AG5" s="255"/>
      <c r="AH5" s="255"/>
      <c r="AI5" s="255"/>
      <c r="AJ5" s="255"/>
      <c r="AK5" s="255"/>
      <c r="AL5" s="255"/>
      <c r="AM5" s="255"/>
      <c r="AN5" s="255"/>
      <c r="AO5" s="256"/>
      <c r="AP5" s="254">
        <v>2021</v>
      </c>
      <c r="AQ5" s="255"/>
      <c r="AR5" s="255"/>
      <c r="AS5" s="255"/>
      <c r="AT5" s="255"/>
      <c r="AU5" s="255"/>
      <c r="AV5" s="255"/>
      <c r="AW5" s="255"/>
      <c r="AX5" s="255"/>
      <c r="AY5" s="255"/>
      <c r="AZ5" s="255"/>
      <c r="BA5" s="256"/>
      <c r="BB5" s="254">
        <v>2022</v>
      </c>
      <c r="BC5" s="255"/>
      <c r="BD5" s="255"/>
      <c r="BE5" s="255"/>
      <c r="BF5" s="255"/>
      <c r="BG5" s="255"/>
      <c r="BH5" s="255"/>
      <c r="BI5" s="255"/>
      <c r="BJ5" s="255"/>
      <c r="BK5" s="255"/>
      <c r="BL5" s="255"/>
      <c r="BM5" s="256"/>
      <c r="BN5" s="254">
        <v>2023</v>
      </c>
      <c r="BO5" s="255"/>
      <c r="BP5" s="255"/>
      <c r="BQ5" s="255"/>
      <c r="BR5" s="255"/>
      <c r="BS5" s="255"/>
      <c r="BT5" s="255"/>
      <c r="BU5" s="255"/>
      <c r="BV5" s="255"/>
      <c r="BW5" s="255"/>
      <c r="BX5" s="255"/>
      <c r="BY5" s="256"/>
      <c r="BZ5" s="254">
        <v>2024</v>
      </c>
      <c r="CA5" s="255"/>
      <c r="CB5" s="255"/>
      <c r="CC5" s="255"/>
      <c r="CD5" s="255"/>
      <c r="CE5" s="255"/>
      <c r="CF5" s="255"/>
      <c r="CG5" s="255"/>
      <c r="CH5" s="255"/>
      <c r="CI5" s="255"/>
      <c r="CJ5" s="255"/>
      <c r="CK5" s="256"/>
      <c r="CL5" s="85"/>
      <c r="CM5" s="85"/>
    </row>
    <row r="6" spans="1:91" ht="17.25" thickBot="1" x14ac:dyDescent="0.35">
      <c r="A6" s="85"/>
      <c r="B6" s="121" t="s">
        <v>129</v>
      </c>
      <c r="C6" s="122" t="s">
        <v>1</v>
      </c>
      <c r="D6" s="122" t="s">
        <v>259</v>
      </c>
      <c r="E6" s="123" t="s">
        <v>235</v>
      </c>
      <c r="F6" s="122" t="s">
        <v>2</v>
      </c>
      <c r="G6" s="122" t="s">
        <v>3</v>
      </c>
      <c r="H6" s="122" t="s">
        <v>4</v>
      </c>
      <c r="I6" s="122" t="s">
        <v>5</v>
      </c>
      <c r="J6" s="122" t="s">
        <v>6</v>
      </c>
      <c r="K6" s="122" t="s">
        <v>7</v>
      </c>
      <c r="L6" s="122" t="s">
        <v>8</v>
      </c>
      <c r="M6" s="122" t="s">
        <v>9</v>
      </c>
      <c r="N6" s="122" t="s">
        <v>10</v>
      </c>
      <c r="O6" s="122" t="s">
        <v>11</v>
      </c>
      <c r="P6" s="122" t="s">
        <v>12</v>
      </c>
      <c r="Q6" s="122" t="s">
        <v>13</v>
      </c>
      <c r="R6" s="178" t="s">
        <v>2</v>
      </c>
      <c r="S6" s="122" t="s">
        <v>3</v>
      </c>
      <c r="T6" s="122" t="s">
        <v>4</v>
      </c>
      <c r="U6" s="122" t="s">
        <v>5</v>
      </c>
      <c r="V6" s="122" t="s">
        <v>6</v>
      </c>
      <c r="W6" s="122" t="s">
        <v>7</v>
      </c>
      <c r="X6" s="122" t="s">
        <v>8</v>
      </c>
      <c r="Y6" s="122" t="s">
        <v>9</v>
      </c>
      <c r="Z6" s="122" t="s">
        <v>10</v>
      </c>
      <c r="AA6" s="122" t="s">
        <v>11</v>
      </c>
      <c r="AB6" s="122" t="s">
        <v>12</v>
      </c>
      <c r="AC6" s="170" t="s">
        <v>13</v>
      </c>
      <c r="AD6" s="178" t="s">
        <v>2</v>
      </c>
      <c r="AE6" s="122" t="s">
        <v>3</v>
      </c>
      <c r="AF6" s="122" t="s">
        <v>4</v>
      </c>
      <c r="AG6" s="122" t="s">
        <v>5</v>
      </c>
      <c r="AH6" s="122" t="s">
        <v>6</v>
      </c>
      <c r="AI6" s="122" t="s">
        <v>7</v>
      </c>
      <c r="AJ6" s="122" t="s">
        <v>8</v>
      </c>
      <c r="AK6" s="122" t="s">
        <v>9</v>
      </c>
      <c r="AL6" s="122" t="s">
        <v>10</v>
      </c>
      <c r="AM6" s="122" t="s">
        <v>11</v>
      </c>
      <c r="AN6" s="122" t="s">
        <v>12</v>
      </c>
      <c r="AO6" s="170" t="s">
        <v>13</v>
      </c>
      <c r="AP6" s="178" t="s">
        <v>2</v>
      </c>
      <c r="AQ6" s="122" t="s">
        <v>3</v>
      </c>
      <c r="AR6" s="122" t="s">
        <v>4</v>
      </c>
      <c r="AS6" s="122" t="s">
        <v>5</v>
      </c>
      <c r="AT6" s="122" t="s">
        <v>6</v>
      </c>
      <c r="AU6" s="122" t="s">
        <v>7</v>
      </c>
      <c r="AV6" s="122" t="s">
        <v>8</v>
      </c>
      <c r="AW6" s="122" t="s">
        <v>9</v>
      </c>
      <c r="AX6" s="122" t="s">
        <v>10</v>
      </c>
      <c r="AY6" s="122" t="s">
        <v>11</v>
      </c>
      <c r="AZ6" s="122" t="s">
        <v>12</v>
      </c>
      <c r="BA6" s="170" t="s">
        <v>13</v>
      </c>
      <c r="BB6" s="178" t="s">
        <v>2</v>
      </c>
      <c r="BC6" s="122" t="s">
        <v>3</v>
      </c>
      <c r="BD6" s="122" t="s">
        <v>4</v>
      </c>
      <c r="BE6" s="122" t="s">
        <v>5</v>
      </c>
      <c r="BF6" s="122" t="s">
        <v>6</v>
      </c>
      <c r="BG6" s="122" t="s">
        <v>7</v>
      </c>
      <c r="BH6" s="122" t="s">
        <v>8</v>
      </c>
      <c r="BI6" s="122" t="s">
        <v>9</v>
      </c>
      <c r="BJ6" s="122" t="s">
        <v>10</v>
      </c>
      <c r="BK6" s="122" t="s">
        <v>11</v>
      </c>
      <c r="BL6" s="122" t="s">
        <v>12</v>
      </c>
      <c r="BM6" s="170" t="s">
        <v>13</v>
      </c>
      <c r="BN6" s="178" t="s">
        <v>2</v>
      </c>
      <c r="BO6" s="122" t="s">
        <v>3</v>
      </c>
      <c r="BP6" s="122" t="s">
        <v>4</v>
      </c>
      <c r="BQ6" s="122" t="s">
        <v>5</v>
      </c>
      <c r="BR6" s="122" t="s">
        <v>6</v>
      </c>
      <c r="BS6" s="122" t="s">
        <v>7</v>
      </c>
      <c r="BT6" s="122" t="s">
        <v>8</v>
      </c>
      <c r="BU6" s="122" t="s">
        <v>9</v>
      </c>
      <c r="BV6" s="122" t="s">
        <v>10</v>
      </c>
      <c r="BW6" s="122" t="s">
        <v>11</v>
      </c>
      <c r="BX6" s="122" t="s">
        <v>12</v>
      </c>
      <c r="BY6" s="170" t="s">
        <v>13</v>
      </c>
      <c r="BZ6" s="178" t="s">
        <v>2</v>
      </c>
      <c r="CA6" s="122" t="s">
        <v>3</v>
      </c>
      <c r="CB6" s="122" t="s">
        <v>4</v>
      </c>
      <c r="CC6" s="122" t="s">
        <v>5</v>
      </c>
      <c r="CD6" s="122" t="s">
        <v>6</v>
      </c>
      <c r="CE6" s="122" t="s">
        <v>7</v>
      </c>
      <c r="CF6" s="122" t="s">
        <v>8</v>
      </c>
      <c r="CG6" s="122" t="s">
        <v>9</v>
      </c>
      <c r="CH6" s="122" t="s">
        <v>10</v>
      </c>
      <c r="CI6" s="122" t="s">
        <v>11</v>
      </c>
      <c r="CJ6" s="122" t="s">
        <v>12</v>
      </c>
      <c r="CK6" s="170" t="s">
        <v>13</v>
      </c>
      <c r="CL6" s="85"/>
      <c r="CM6" s="85"/>
    </row>
    <row r="7" spans="1:91" ht="17.25" thickTop="1" x14ac:dyDescent="0.3">
      <c r="A7" s="85"/>
      <c r="B7" s="138" t="s">
        <v>14</v>
      </c>
      <c r="C7" s="214">
        <v>1</v>
      </c>
      <c r="D7" s="215" t="s">
        <v>236</v>
      </c>
      <c r="E7" s="216" t="s">
        <v>237</v>
      </c>
      <c r="F7" s="139"/>
      <c r="G7" s="139"/>
      <c r="H7" s="186"/>
      <c r="I7" s="231" t="s">
        <v>15</v>
      </c>
      <c r="J7" s="231"/>
      <c r="K7" s="231"/>
      <c r="L7" s="139"/>
      <c r="M7" s="139"/>
      <c r="N7" s="139"/>
      <c r="O7" s="139"/>
      <c r="P7" s="139"/>
      <c r="Q7" s="139"/>
      <c r="R7" s="171"/>
      <c r="S7" s="139"/>
      <c r="T7" s="139"/>
      <c r="U7" s="139"/>
      <c r="V7" s="139"/>
      <c r="W7" s="139"/>
      <c r="X7" s="139"/>
      <c r="Y7" s="139"/>
      <c r="Z7" s="139"/>
      <c r="AA7" s="139"/>
      <c r="AB7" s="139"/>
      <c r="AC7" s="143"/>
      <c r="AD7" s="171"/>
      <c r="AE7" s="139"/>
      <c r="AF7" s="139"/>
      <c r="AG7" s="139"/>
      <c r="AH7" s="139"/>
      <c r="AI7" s="139"/>
      <c r="AJ7" s="139"/>
      <c r="AK7" s="140"/>
      <c r="AL7" s="139"/>
      <c r="AM7" s="139"/>
      <c r="AN7" s="139"/>
      <c r="AO7" s="143"/>
      <c r="AP7" s="171"/>
      <c r="AQ7" s="139"/>
      <c r="AR7" s="141" t="s">
        <v>16</v>
      </c>
      <c r="AS7" s="139"/>
      <c r="AT7" s="139"/>
      <c r="AU7" s="139"/>
      <c r="AV7" s="139"/>
      <c r="AW7" s="139"/>
      <c r="AX7" s="139"/>
      <c r="AY7" s="139"/>
      <c r="AZ7" s="139"/>
      <c r="BA7" s="143"/>
      <c r="BB7" s="171"/>
      <c r="BC7" s="140"/>
      <c r="BD7" s="139"/>
      <c r="BE7" s="139"/>
      <c r="BF7" s="139"/>
      <c r="BG7" s="139"/>
      <c r="BH7" s="139"/>
      <c r="BI7" s="142"/>
      <c r="BJ7" s="285" t="s">
        <v>18</v>
      </c>
      <c r="BK7" s="285"/>
      <c r="BL7" s="285"/>
      <c r="BM7" s="143"/>
      <c r="BN7" s="171"/>
      <c r="BO7" s="140"/>
      <c r="BP7" s="139"/>
      <c r="BQ7" s="139"/>
      <c r="BR7" s="139"/>
      <c r="BS7" s="139"/>
      <c r="BT7" s="139"/>
      <c r="BU7" s="139"/>
      <c r="BV7" s="139"/>
      <c r="BW7" s="139"/>
      <c r="BX7" s="139"/>
      <c r="BY7" s="143"/>
      <c r="BZ7" s="171"/>
      <c r="CA7" s="140"/>
      <c r="CB7" s="139"/>
      <c r="CC7" s="139"/>
      <c r="CD7" s="139"/>
      <c r="CE7" s="139"/>
      <c r="CF7" s="139"/>
      <c r="CG7" s="139"/>
      <c r="CH7" s="139"/>
      <c r="CI7" s="139"/>
      <c r="CJ7" s="139"/>
      <c r="CK7" s="143"/>
      <c r="CL7" s="85"/>
      <c r="CM7" s="85"/>
    </row>
    <row r="8" spans="1:91" x14ac:dyDescent="0.3">
      <c r="A8" s="85"/>
      <c r="B8" s="144" t="s">
        <v>14</v>
      </c>
      <c r="C8" s="209">
        <v>2</v>
      </c>
      <c r="D8" s="208" t="s">
        <v>236</v>
      </c>
      <c r="E8" s="213" t="s">
        <v>237</v>
      </c>
      <c r="F8" s="117"/>
      <c r="G8" s="117"/>
      <c r="H8" s="117"/>
      <c r="I8" s="187"/>
      <c r="J8" s="118"/>
      <c r="K8" s="117"/>
      <c r="L8" s="117"/>
      <c r="M8" s="117"/>
      <c r="N8" s="117"/>
      <c r="O8" s="118"/>
      <c r="P8" s="118"/>
      <c r="Q8" s="118"/>
      <c r="R8" s="174"/>
      <c r="S8" s="117"/>
      <c r="T8" s="117"/>
      <c r="U8" s="117"/>
      <c r="V8" s="210" t="s">
        <v>16</v>
      </c>
      <c r="W8" s="117"/>
      <c r="X8" s="117"/>
      <c r="Y8" s="118"/>
      <c r="Z8" s="117"/>
      <c r="AA8" s="117"/>
      <c r="AB8" s="117"/>
      <c r="AC8" s="145"/>
      <c r="AD8" s="172"/>
      <c r="AE8" s="117"/>
      <c r="AF8" s="117"/>
      <c r="AG8" s="117"/>
      <c r="AH8" s="117"/>
      <c r="AI8" s="117"/>
      <c r="AJ8" s="117"/>
      <c r="AK8" s="235" t="s">
        <v>18</v>
      </c>
      <c r="AL8" s="235"/>
      <c r="AM8" s="235"/>
      <c r="AN8" s="117"/>
      <c r="AO8" s="145"/>
      <c r="AP8" s="172"/>
      <c r="AQ8" s="187"/>
      <c r="AR8" s="117"/>
      <c r="AS8" s="117"/>
      <c r="AT8" s="117"/>
      <c r="AU8" s="117"/>
      <c r="AV8" s="117"/>
      <c r="AW8" s="118"/>
      <c r="AX8" s="118"/>
      <c r="AY8" s="118"/>
      <c r="AZ8" s="117"/>
      <c r="BA8" s="145"/>
      <c r="BB8" s="172"/>
      <c r="BC8" s="117"/>
      <c r="BD8" s="117"/>
      <c r="BE8" s="117"/>
      <c r="BF8" s="117"/>
      <c r="BG8" s="117"/>
      <c r="BH8" s="117"/>
      <c r="BI8" s="117"/>
      <c r="BJ8" s="117"/>
      <c r="BK8" s="117"/>
      <c r="BL8" s="117"/>
      <c r="BM8" s="145"/>
      <c r="BN8" s="172"/>
      <c r="BO8" s="117"/>
      <c r="BP8" s="117"/>
      <c r="BQ8" s="210" t="s">
        <v>16</v>
      </c>
      <c r="BR8" s="117"/>
      <c r="BS8" s="117"/>
      <c r="BT8" s="117"/>
      <c r="BU8" s="117"/>
      <c r="BV8" s="117"/>
      <c r="BW8" s="117"/>
      <c r="BX8" s="117"/>
      <c r="BY8" s="145"/>
      <c r="BZ8" s="172"/>
      <c r="CA8" s="117"/>
      <c r="CB8" s="117"/>
      <c r="CC8" s="117"/>
      <c r="CD8" s="117"/>
      <c r="CE8" s="117"/>
      <c r="CF8" s="117"/>
      <c r="CG8" s="117"/>
      <c r="CH8" s="234" t="s">
        <v>15</v>
      </c>
      <c r="CI8" s="234"/>
      <c r="CJ8" s="117"/>
      <c r="CK8" s="145"/>
      <c r="CL8" s="85"/>
      <c r="CM8" s="85"/>
    </row>
    <row r="9" spans="1:91" ht="14.65" customHeight="1" x14ac:dyDescent="0.3">
      <c r="A9" s="85"/>
      <c r="B9" s="144" t="s">
        <v>14</v>
      </c>
      <c r="C9" s="209">
        <v>3</v>
      </c>
      <c r="D9" s="208" t="s">
        <v>236</v>
      </c>
      <c r="E9" s="213" t="s">
        <v>237</v>
      </c>
      <c r="F9" s="117"/>
      <c r="G9" s="117"/>
      <c r="H9" s="117"/>
      <c r="I9" s="117"/>
      <c r="J9" s="117"/>
      <c r="K9" s="117"/>
      <c r="L9" s="117"/>
      <c r="M9" s="118"/>
      <c r="N9" s="118"/>
      <c r="O9" s="118"/>
      <c r="P9" s="118"/>
      <c r="Q9" s="118"/>
      <c r="R9" s="174"/>
      <c r="S9" s="118"/>
      <c r="T9" s="117"/>
      <c r="U9" s="117"/>
      <c r="V9" s="117"/>
      <c r="W9" s="117"/>
      <c r="X9" s="117"/>
      <c r="Y9" s="117"/>
      <c r="Z9" s="117"/>
      <c r="AA9" s="117"/>
      <c r="AB9" s="117"/>
      <c r="AC9" s="145"/>
      <c r="AD9" s="172"/>
      <c r="AE9" s="117"/>
      <c r="AF9" s="117"/>
      <c r="AG9" s="210" t="s">
        <v>16</v>
      </c>
      <c r="AH9" s="117"/>
      <c r="AI9" s="117"/>
      <c r="AJ9" s="117"/>
      <c r="AK9" s="118"/>
      <c r="AL9" s="118"/>
      <c r="AM9" s="118"/>
      <c r="AN9" s="117"/>
      <c r="AO9" s="145"/>
      <c r="AP9" s="172"/>
      <c r="AQ9" s="117"/>
      <c r="AR9" s="117"/>
      <c r="AS9" s="117"/>
      <c r="AT9" s="117"/>
      <c r="AU9" s="117"/>
      <c r="AV9" s="117"/>
      <c r="AW9" s="117"/>
      <c r="AX9" s="235" t="s">
        <v>18</v>
      </c>
      <c r="AY9" s="235"/>
      <c r="AZ9" s="235"/>
      <c r="BA9" s="145"/>
      <c r="BB9" s="172"/>
      <c r="BC9" s="117"/>
      <c r="BD9" s="117"/>
      <c r="BE9" s="118"/>
      <c r="BF9" s="117"/>
      <c r="BG9" s="117"/>
      <c r="BH9" s="117"/>
      <c r="BI9" s="117"/>
      <c r="BJ9" s="117"/>
      <c r="BK9" s="117"/>
      <c r="BL9" s="118"/>
      <c r="BM9" s="145"/>
      <c r="BN9" s="172"/>
      <c r="BO9" s="117"/>
      <c r="BP9" s="117"/>
      <c r="BQ9" s="117"/>
      <c r="BR9" s="117"/>
      <c r="BS9" s="117"/>
      <c r="BT9" s="117"/>
      <c r="BU9" s="117"/>
      <c r="BV9" s="117"/>
      <c r="BW9" s="117"/>
      <c r="BX9" s="117"/>
      <c r="BY9" s="145"/>
      <c r="BZ9" s="172"/>
      <c r="CA9" s="117"/>
      <c r="CB9" s="117"/>
      <c r="CC9" s="117"/>
      <c r="CD9" s="210" t="s">
        <v>16</v>
      </c>
      <c r="CE9" s="117"/>
      <c r="CF9" s="117"/>
      <c r="CG9" s="117"/>
      <c r="CH9" s="117"/>
      <c r="CI9" s="117"/>
      <c r="CJ9" s="117"/>
      <c r="CK9" s="145"/>
      <c r="CL9" s="85"/>
      <c r="CM9" s="85"/>
    </row>
    <row r="10" spans="1:91" ht="17.25" thickBot="1" x14ac:dyDescent="0.35">
      <c r="A10" s="85"/>
      <c r="B10" s="146" t="s">
        <v>14</v>
      </c>
      <c r="C10" s="217">
        <v>4</v>
      </c>
      <c r="D10" s="218" t="s">
        <v>236</v>
      </c>
      <c r="E10" s="219" t="s">
        <v>237</v>
      </c>
      <c r="F10" s="147"/>
      <c r="G10" s="147"/>
      <c r="H10" s="147"/>
      <c r="I10" s="147"/>
      <c r="J10" s="147"/>
      <c r="K10" s="147"/>
      <c r="L10" s="147"/>
      <c r="M10" s="147"/>
      <c r="N10" s="147"/>
      <c r="O10" s="147"/>
      <c r="P10" s="147"/>
      <c r="Q10" s="147"/>
      <c r="R10" s="173"/>
      <c r="S10" s="147"/>
      <c r="T10" s="147"/>
      <c r="U10" s="148"/>
      <c r="V10" s="148"/>
      <c r="W10" s="147"/>
      <c r="X10" s="147"/>
      <c r="Y10" s="276" t="s">
        <v>18</v>
      </c>
      <c r="Z10" s="276"/>
      <c r="AA10" s="276"/>
      <c r="AB10" s="147"/>
      <c r="AC10" s="149"/>
      <c r="AD10" s="173"/>
      <c r="AE10" s="147"/>
      <c r="AF10" s="147"/>
      <c r="AG10" s="148"/>
      <c r="AH10" s="147"/>
      <c r="AI10" s="147"/>
      <c r="AJ10" s="147"/>
      <c r="AK10" s="147"/>
      <c r="AL10" s="147"/>
      <c r="AM10" s="147"/>
      <c r="AN10" s="147"/>
      <c r="AO10" s="149"/>
      <c r="AP10" s="173"/>
      <c r="AQ10" s="147"/>
      <c r="AR10" s="147"/>
      <c r="AS10" s="147"/>
      <c r="AT10" s="147"/>
      <c r="AU10" s="147"/>
      <c r="AV10" s="147"/>
      <c r="AW10" s="147"/>
      <c r="AX10" s="147"/>
      <c r="AY10" s="148"/>
      <c r="AZ10" s="204" t="s">
        <v>16</v>
      </c>
      <c r="BA10" s="149"/>
      <c r="BB10" s="173"/>
      <c r="BC10" s="147"/>
      <c r="BD10" s="147"/>
      <c r="BE10" s="204" t="s">
        <v>16</v>
      </c>
      <c r="BF10" s="147"/>
      <c r="BG10" s="147"/>
      <c r="BH10" s="147"/>
      <c r="BI10" s="147"/>
      <c r="BJ10" s="147"/>
      <c r="BK10" s="147"/>
      <c r="BL10" s="147"/>
      <c r="BM10" s="149"/>
      <c r="BN10" s="173"/>
      <c r="BO10" s="147"/>
      <c r="BP10" s="147"/>
      <c r="BQ10" s="148"/>
      <c r="BR10" s="148"/>
      <c r="BS10" s="147"/>
      <c r="BT10" s="147"/>
      <c r="BU10" s="147"/>
      <c r="BV10" s="147"/>
      <c r="BW10" s="273" t="s">
        <v>16</v>
      </c>
      <c r="BX10" s="273"/>
      <c r="BY10" s="149"/>
      <c r="BZ10" s="173"/>
      <c r="CA10" s="147"/>
      <c r="CB10" s="147"/>
      <c r="CC10" s="333"/>
      <c r="CD10" s="333"/>
      <c r="CE10" s="147"/>
      <c r="CF10" s="147"/>
      <c r="CG10" s="147"/>
      <c r="CH10" s="147"/>
      <c r="CI10" s="147"/>
      <c r="CJ10" s="147"/>
      <c r="CK10" s="149"/>
      <c r="CL10" s="85"/>
      <c r="CM10" s="85"/>
    </row>
    <row r="11" spans="1:91" x14ac:dyDescent="0.3">
      <c r="A11" s="85"/>
      <c r="B11" s="150" t="s">
        <v>20</v>
      </c>
      <c r="C11" s="188">
        <v>1</v>
      </c>
      <c r="D11" s="188" t="s">
        <v>236</v>
      </c>
      <c r="E11" s="151" t="s">
        <v>237</v>
      </c>
      <c r="F11" s="188"/>
      <c r="G11" s="188"/>
      <c r="H11" s="188"/>
      <c r="I11" s="188"/>
      <c r="J11" s="188"/>
      <c r="K11" s="188"/>
      <c r="L11" s="188"/>
      <c r="M11" s="188"/>
      <c r="N11" s="188"/>
      <c r="O11" s="188"/>
      <c r="P11" s="188"/>
      <c r="Q11" s="188"/>
      <c r="R11" s="150"/>
      <c r="S11" s="188"/>
      <c r="T11" s="188"/>
      <c r="U11" s="188"/>
      <c r="V11" s="188"/>
      <c r="W11" s="188"/>
      <c r="X11" s="188"/>
      <c r="Y11" s="188"/>
      <c r="Z11" s="188"/>
      <c r="AA11" s="188"/>
      <c r="AB11" s="188"/>
      <c r="AC11" s="189"/>
      <c r="AD11" s="150"/>
      <c r="AE11" s="188"/>
      <c r="AF11" s="188"/>
      <c r="AG11" s="188"/>
      <c r="AH11" s="188"/>
      <c r="AI11" s="188"/>
      <c r="AJ11" s="188"/>
      <c r="AK11" s="188"/>
      <c r="AL11" s="188"/>
      <c r="AM11" s="188"/>
      <c r="AN11" s="188"/>
      <c r="AO11" s="189"/>
      <c r="AP11" s="150"/>
      <c r="AQ11" s="188"/>
      <c r="AR11" s="190" t="s">
        <v>16</v>
      </c>
      <c r="AS11" s="188"/>
      <c r="AT11" s="188"/>
      <c r="AU11" s="188"/>
      <c r="AV11" s="188"/>
      <c r="AW11" s="188"/>
      <c r="AX11" s="188"/>
      <c r="AY11" s="188"/>
      <c r="AZ11" s="188"/>
      <c r="BA11" s="189"/>
      <c r="BB11" s="150"/>
      <c r="BC11" s="188"/>
      <c r="BD11" s="188"/>
      <c r="BE11" s="188"/>
      <c r="BF11" s="188"/>
      <c r="BG11" s="188"/>
      <c r="BH11" s="188"/>
      <c r="BI11" s="188"/>
      <c r="BJ11" s="188"/>
      <c r="BK11" s="188"/>
      <c r="BL11" s="188"/>
      <c r="BM11" s="189"/>
      <c r="BN11" s="150"/>
      <c r="BO11" s="188"/>
      <c r="BP11" s="188"/>
      <c r="BQ11" s="188"/>
      <c r="BR11" s="188"/>
      <c r="BS11" s="188"/>
      <c r="BT11" s="188"/>
      <c r="BU11" s="188"/>
      <c r="BV11" s="188"/>
      <c r="BW11" s="188"/>
      <c r="BX11" s="188"/>
      <c r="BY11" s="189"/>
      <c r="BZ11" s="150"/>
      <c r="CA11" s="188"/>
      <c r="CB11" s="188"/>
      <c r="CC11" s="188"/>
      <c r="CD11" s="188"/>
      <c r="CE11" s="188"/>
      <c r="CF11" s="188"/>
      <c r="CG11" s="188"/>
      <c r="CH11" s="188"/>
      <c r="CI11" s="188"/>
      <c r="CJ11" s="188"/>
      <c r="CK11" s="189"/>
      <c r="CL11" s="85"/>
      <c r="CM11" s="85"/>
    </row>
    <row r="12" spans="1:91" x14ac:dyDescent="0.3">
      <c r="A12" s="85"/>
      <c r="B12" s="144" t="s">
        <v>20</v>
      </c>
      <c r="C12" s="209">
        <v>2</v>
      </c>
      <c r="D12" s="208" t="s">
        <v>236</v>
      </c>
      <c r="E12" s="213" t="s">
        <v>237</v>
      </c>
      <c r="F12" s="118"/>
      <c r="G12" s="118"/>
      <c r="H12" s="118"/>
      <c r="I12" s="118"/>
      <c r="J12" s="118"/>
      <c r="K12" s="118"/>
      <c r="L12" s="118"/>
      <c r="M12" s="118"/>
      <c r="N12" s="118"/>
      <c r="O12" s="118"/>
      <c r="P12" s="118"/>
      <c r="Q12" s="118"/>
      <c r="R12" s="174"/>
      <c r="S12" s="118"/>
      <c r="T12" s="118"/>
      <c r="U12" s="118"/>
      <c r="V12" s="118"/>
      <c r="W12" s="118"/>
      <c r="X12" s="118"/>
      <c r="Y12" s="118"/>
      <c r="Z12" s="118"/>
      <c r="AA12" s="117"/>
      <c r="AB12" s="117"/>
      <c r="AC12" s="152" t="s">
        <v>21</v>
      </c>
      <c r="AD12" s="174"/>
      <c r="AE12" s="118"/>
      <c r="AF12" s="119"/>
      <c r="AG12" s="237" t="s">
        <v>15</v>
      </c>
      <c r="AH12" s="237"/>
      <c r="AI12" s="118"/>
      <c r="AJ12" s="118"/>
      <c r="AK12" s="118"/>
      <c r="AL12" s="118"/>
      <c r="AM12" s="118"/>
      <c r="AN12" s="118"/>
      <c r="AO12" s="152"/>
      <c r="AP12" s="174"/>
      <c r="AQ12" s="118"/>
      <c r="AR12" s="118"/>
      <c r="AS12" s="118"/>
      <c r="AT12" s="118"/>
      <c r="AU12" s="118"/>
      <c r="AV12" s="118"/>
      <c r="AW12" s="118"/>
      <c r="AX12" s="118"/>
      <c r="AY12" s="118"/>
      <c r="AZ12" s="118"/>
      <c r="BA12" s="152"/>
      <c r="BB12" s="174"/>
      <c r="BC12" s="118"/>
      <c r="BD12" s="118"/>
      <c r="BE12" s="118"/>
      <c r="BF12" s="118"/>
      <c r="BG12" s="118"/>
      <c r="BH12" s="118"/>
      <c r="BI12" s="118"/>
      <c r="BJ12" s="118"/>
      <c r="BK12" s="118"/>
      <c r="BL12" s="118"/>
      <c r="BM12" s="152"/>
      <c r="BN12" s="174"/>
      <c r="BO12" s="118"/>
      <c r="BP12" s="118"/>
      <c r="BQ12" s="118"/>
      <c r="BR12" s="118"/>
      <c r="BS12" s="118"/>
      <c r="BT12" s="118"/>
      <c r="BU12" s="118"/>
      <c r="BV12" s="118"/>
      <c r="BW12" s="118"/>
      <c r="BX12" s="118"/>
      <c r="BY12" s="152"/>
      <c r="BZ12" s="174"/>
      <c r="CA12" s="118"/>
      <c r="CB12" s="118"/>
      <c r="CC12" s="118"/>
      <c r="CD12" s="118"/>
      <c r="CE12" s="118"/>
      <c r="CF12" s="118"/>
      <c r="CG12" s="118"/>
      <c r="CH12" s="118"/>
      <c r="CI12" s="118"/>
      <c r="CJ12" s="118"/>
      <c r="CK12" s="152"/>
      <c r="CL12" s="85"/>
      <c r="CM12" s="85"/>
    </row>
    <row r="13" spans="1:91" x14ac:dyDescent="0.3">
      <c r="A13" s="85"/>
      <c r="B13" s="144" t="s">
        <v>20</v>
      </c>
      <c r="C13" s="209">
        <v>3</v>
      </c>
      <c r="D13" s="208" t="s">
        <v>236</v>
      </c>
      <c r="E13" s="213" t="s">
        <v>237</v>
      </c>
      <c r="F13" s="117"/>
      <c r="G13" s="117"/>
      <c r="H13" s="117"/>
      <c r="I13" s="117"/>
      <c r="J13" s="117"/>
      <c r="K13" s="117"/>
      <c r="L13" s="117"/>
      <c r="M13" s="234" t="s">
        <v>15</v>
      </c>
      <c r="N13" s="234"/>
      <c r="O13" s="234"/>
      <c r="P13" s="234"/>
      <c r="Q13" s="119"/>
      <c r="R13" s="179"/>
      <c r="S13" s="119"/>
      <c r="T13" s="119"/>
      <c r="U13" s="119"/>
      <c r="V13" s="119"/>
      <c r="W13" s="119"/>
      <c r="X13" s="119"/>
      <c r="Y13" s="119"/>
      <c r="Z13" s="119"/>
      <c r="AA13" s="119"/>
      <c r="AB13" s="119"/>
      <c r="AC13" s="175"/>
      <c r="AD13" s="179"/>
      <c r="AE13" s="119"/>
      <c r="AF13" s="119"/>
      <c r="AG13" s="119"/>
      <c r="AH13" s="119"/>
      <c r="AI13" s="119"/>
      <c r="AJ13" s="117"/>
      <c r="AK13" s="117"/>
      <c r="AL13" s="117"/>
      <c r="AM13" s="117"/>
      <c r="AN13" s="117"/>
      <c r="AO13" s="145"/>
      <c r="AP13" s="172"/>
      <c r="AQ13" s="117"/>
      <c r="AR13" s="117"/>
      <c r="AS13" s="117"/>
      <c r="AT13" s="210" t="s">
        <v>16</v>
      </c>
      <c r="AU13" s="117"/>
      <c r="AV13" s="117"/>
      <c r="AW13" s="117"/>
      <c r="AX13" s="117"/>
      <c r="AY13" s="117"/>
      <c r="AZ13" s="118"/>
      <c r="BA13" s="145"/>
      <c r="BB13" s="172"/>
      <c r="BC13" s="117"/>
      <c r="BD13" s="117"/>
      <c r="BE13" s="117"/>
      <c r="BF13" s="117"/>
      <c r="BG13" s="117"/>
      <c r="BH13" s="117"/>
      <c r="BI13" s="117"/>
      <c r="BJ13" s="117"/>
      <c r="BK13" s="117"/>
      <c r="BL13" s="117"/>
      <c r="BM13" s="145"/>
      <c r="BN13" s="172"/>
      <c r="BO13" s="117"/>
      <c r="BP13" s="117"/>
      <c r="BQ13" s="117"/>
      <c r="BR13" s="117"/>
      <c r="BS13" s="117"/>
      <c r="BT13" s="117"/>
      <c r="BU13" s="117"/>
      <c r="BV13" s="117"/>
      <c r="BW13" s="117"/>
      <c r="BX13" s="117"/>
      <c r="BY13" s="145"/>
      <c r="BZ13" s="172"/>
      <c r="CA13" s="117"/>
      <c r="CB13" s="117"/>
      <c r="CC13" s="117"/>
      <c r="CD13" s="117"/>
      <c r="CE13" s="117"/>
      <c r="CF13" s="117"/>
      <c r="CG13" s="117"/>
      <c r="CH13" s="117"/>
      <c r="CI13" s="117"/>
      <c r="CJ13" s="117"/>
      <c r="CK13" s="145"/>
      <c r="CL13" s="85"/>
      <c r="CM13" s="85"/>
    </row>
    <row r="14" spans="1:91" ht="17.25" thickBot="1" x14ac:dyDescent="0.35">
      <c r="A14" s="85"/>
      <c r="B14" s="146" t="s">
        <v>20</v>
      </c>
      <c r="C14" s="217">
        <v>4</v>
      </c>
      <c r="D14" s="218" t="s">
        <v>236</v>
      </c>
      <c r="E14" s="219" t="s">
        <v>237</v>
      </c>
      <c r="F14" s="147"/>
      <c r="G14" s="147"/>
      <c r="H14" s="147"/>
      <c r="I14" s="147"/>
      <c r="J14" s="147"/>
      <c r="K14" s="147"/>
      <c r="L14" s="147"/>
      <c r="M14" s="147"/>
      <c r="N14" s="147"/>
      <c r="O14" s="147"/>
      <c r="P14" s="147"/>
      <c r="Q14" s="147"/>
      <c r="R14" s="180"/>
      <c r="S14" s="148"/>
      <c r="T14" s="236" t="s">
        <v>15</v>
      </c>
      <c r="U14" s="236"/>
      <c r="V14" s="147"/>
      <c r="W14" s="147"/>
      <c r="X14" s="147"/>
      <c r="Y14" s="147"/>
      <c r="Z14" s="147"/>
      <c r="AA14" s="191"/>
      <c r="AB14" s="147"/>
      <c r="AC14" s="192"/>
      <c r="AD14" s="173"/>
      <c r="AE14" s="147"/>
      <c r="AF14" s="147"/>
      <c r="AG14" s="147"/>
      <c r="AH14" s="147"/>
      <c r="AI14" s="147"/>
      <c r="AJ14" s="147"/>
      <c r="AK14" s="147"/>
      <c r="AL14" s="147"/>
      <c r="AM14" s="147"/>
      <c r="AN14" s="147"/>
      <c r="AO14" s="149"/>
      <c r="AP14" s="173"/>
      <c r="AQ14" s="147"/>
      <c r="AR14" s="147"/>
      <c r="AS14" s="147"/>
      <c r="AT14" s="147"/>
      <c r="AU14" s="147"/>
      <c r="AV14" s="147"/>
      <c r="AW14" s="147"/>
      <c r="AX14" s="147"/>
      <c r="AY14" s="147"/>
      <c r="AZ14" s="147"/>
      <c r="BA14" s="149"/>
      <c r="BB14" s="173"/>
      <c r="BC14" s="147"/>
      <c r="BD14" s="147"/>
      <c r="BE14" s="147"/>
      <c r="BF14" s="147"/>
      <c r="BG14" s="147"/>
      <c r="BH14" s="147"/>
      <c r="BI14" s="147"/>
      <c r="BJ14" s="147"/>
      <c r="BK14" s="147"/>
      <c r="BL14" s="147"/>
      <c r="BM14" s="149"/>
      <c r="BN14" s="173"/>
      <c r="BO14" s="147"/>
      <c r="BP14" s="147"/>
      <c r="BQ14" s="147"/>
      <c r="BR14" s="147"/>
      <c r="BS14" s="147"/>
      <c r="BT14" s="147"/>
      <c r="BU14" s="147"/>
      <c r="BV14" s="147"/>
      <c r="BW14" s="147"/>
      <c r="BX14" s="147"/>
      <c r="BY14" s="149"/>
      <c r="BZ14" s="173"/>
      <c r="CA14" s="147"/>
      <c r="CB14" s="147"/>
      <c r="CC14" s="147"/>
      <c r="CD14" s="147"/>
      <c r="CE14" s="147"/>
      <c r="CF14" s="147"/>
      <c r="CG14" s="147"/>
      <c r="CH14" s="147"/>
      <c r="CI14" s="147"/>
      <c r="CJ14" s="147"/>
      <c r="CK14" s="149"/>
      <c r="CL14" s="85"/>
      <c r="CM14" s="85"/>
    </row>
    <row r="15" spans="1:91" x14ac:dyDescent="0.3">
      <c r="A15" s="85"/>
      <c r="B15" s="153" t="s">
        <v>22</v>
      </c>
      <c r="C15" s="220" t="s">
        <v>23</v>
      </c>
      <c r="D15" s="215" t="s">
        <v>236</v>
      </c>
      <c r="E15" s="216" t="s">
        <v>237</v>
      </c>
      <c r="F15" s="140"/>
      <c r="G15" s="140"/>
      <c r="H15" s="140"/>
      <c r="I15" s="140"/>
      <c r="J15" s="140"/>
      <c r="K15" s="140"/>
      <c r="L15" s="140"/>
      <c r="M15" s="140"/>
      <c r="N15" s="140"/>
      <c r="O15" s="140"/>
      <c r="P15" s="140"/>
      <c r="Q15" s="140"/>
      <c r="R15" s="176"/>
      <c r="S15" s="140"/>
      <c r="T15" s="140"/>
      <c r="U15" s="140"/>
      <c r="V15" s="140"/>
      <c r="W15" s="140"/>
      <c r="X15" s="140"/>
      <c r="Y15" s="140"/>
      <c r="Z15" s="140"/>
      <c r="AA15" s="140"/>
      <c r="AB15" s="140"/>
      <c r="AC15" s="154"/>
      <c r="AD15" s="176"/>
      <c r="AE15" s="140"/>
      <c r="AF15" s="140"/>
      <c r="AG15" s="140"/>
      <c r="AH15" s="140"/>
      <c r="AI15" s="140"/>
      <c r="AJ15" s="140"/>
      <c r="AK15" s="140"/>
      <c r="AL15" s="140"/>
      <c r="AM15" s="140"/>
      <c r="AN15" s="140"/>
      <c r="AO15" s="154"/>
      <c r="AP15" s="176"/>
      <c r="AQ15" s="140"/>
      <c r="AR15" s="140"/>
      <c r="AS15" s="140"/>
      <c r="AT15" s="140"/>
      <c r="AU15" s="140"/>
      <c r="AV15" s="140"/>
      <c r="AW15" s="140"/>
      <c r="AX15" s="140"/>
      <c r="AY15" s="140"/>
      <c r="AZ15" s="140"/>
      <c r="BA15" s="154"/>
      <c r="BB15" s="176"/>
      <c r="BC15" s="140"/>
      <c r="BD15" s="140"/>
      <c r="BE15" s="140"/>
      <c r="BF15" s="140"/>
      <c r="BG15" s="140"/>
      <c r="BH15" s="140"/>
      <c r="BI15" s="140"/>
      <c r="BJ15" s="140"/>
      <c r="BK15" s="140"/>
      <c r="BL15" s="140"/>
      <c r="BM15" s="154"/>
      <c r="BN15" s="176"/>
      <c r="BO15" s="140"/>
      <c r="BP15" s="140"/>
      <c r="BQ15" s="140"/>
      <c r="BR15" s="140"/>
      <c r="BS15" s="140"/>
      <c r="BT15" s="140"/>
      <c r="BU15" s="140"/>
      <c r="BV15" s="140"/>
      <c r="BW15" s="140"/>
      <c r="BX15" s="140"/>
      <c r="BY15" s="154"/>
      <c r="BZ15" s="176"/>
      <c r="CA15" s="140"/>
      <c r="CB15" s="140"/>
      <c r="CC15" s="140"/>
      <c r="CD15" s="140"/>
      <c r="CE15" s="140"/>
      <c r="CF15" s="140"/>
      <c r="CG15" s="140"/>
      <c r="CH15" s="140"/>
      <c r="CI15" s="140"/>
      <c r="CJ15" s="140"/>
      <c r="CK15" s="154"/>
      <c r="CL15" s="85"/>
      <c r="CM15" s="85"/>
    </row>
    <row r="16" spans="1:91" x14ac:dyDescent="0.3">
      <c r="A16" s="85"/>
      <c r="B16" s="144" t="s">
        <v>22</v>
      </c>
      <c r="C16" s="211" t="s">
        <v>24</v>
      </c>
      <c r="D16" s="208" t="s">
        <v>236</v>
      </c>
      <c r="E16" s="213" t="s">
        <v>237</v>
      </c>
      <c r="F16" s="118"/>
      <c r="G16" s="118"/>
      <c r="H16" s="117"/>
      <c r="I16" s="117"/>
      <c r="J16" s="117"/>
      <c r="K16" s="118"/>
      <c r="L16" s="118"/>
      <c r="M16" s="118"/>
      <c r="N16" s="118"/>
      <c r="O16" s="118"/>
      <c r="P16" s="118"/>
      <c r="Q16" s="118"/>
      <c r="R16" s="174"/>
      <c r="S16" s="262" t="s">
        <v>15</v>
      </c>
      <c r="T16" s="262"/>
      <c r="U16" s="118"/>
      <c r="V16" s="118"/>
      <c r="W16" s="118"/>
      <c r="X16" s="118"/>
      <c r="Y16" s="118"/>
      <c r="Z16" s="118"/>
      <c r="AA16" s="117"/>
      <c r="AB16" s="117"/>
      <c r="AC16" s="152"/>
      <c r="AD16" s="174"/>
      <c r="AE16" s="118"/>
      <c r="AF16" s="118"/>
      <c r="AG16" s="118"/>
      <c r="AH16" s="118"/>
      <c r="AI16" s="118"/>
      <c r="AJ16" s="118"/>
      <c r="AK16" s="118"/>
      <c r="AL16" s="118"/>
      <c r="AM16" s="118"/>
      <c r="AN16" s="118"/>
      <c r="AO16" s="152"/>
      <c r="AP16" s="174"/>
      <c r="AQ16" s="118"/>
      <c r="AR16" s="118"/>
      <c r="AS16" s="118"/>
      <c r="AT16" s="118"/>
      <c r="AU16" s="118"/>
      <c r="AV16" s="118"/>
      <c r="AW16" s="118"/>
      <c r="AX16" s="118"/>
      <c r="AY16" s="118"/>
      <c r="AZ16" s="118"/>
      <c r="BA16" s="152"/>
      <c r="BB16" s="174"/>
      <c r="BC16" s="118"/>
      <c r="BD16" s="118"/>
      <c r="BE16" s="118"/>
      <c r="BF16" s="118"/>
      <c r="BG16" s="118"/>
      <c r="BH16" s="118"/>
      <c r="BI16" s="118"/>
      <c r="BJ16" s="118"/>
      <c r="BK16" s="118"/>
      <c r="BL16" s="118"/>
      <c r="BM16" s="152"/>
      <c r="BN16" s="174"/>
      <c r="BO16" s="118"/>
      <c r="BP16" s="118"/>
      <c r="BQ16" s="118"/>
      <c r="BR16" s="118"/>
      <c r="BS16" s="118"/>
      <c r="BT16" s="118"/>
      <c r="BU16" s="118"/>
      <c r="BV16" s="118"/>
      <c r="BW16" s="118"/>
      <c r="BX16" s="118"/>
      <c r="BY16" s="152"/>
      <c r="BZ16" s="174"/>
      <c r="CA16" s="118"/>
      <c r="CB16" s="118"/>
      <c r="CC16" s="118"/>
      <c r="CD16" s="118"/>
      <c r="CE16" s="118"/>
      <c r="CF16" s="118"/>
      <c r="CG16" s="118"/>
      <c r="CH16" s="118"/>
      <c r="CI16" s="118"/>
      <c r="CJ16" s="118"/>
      <c r="CK16" s="152"/>
      <c r="CL16" s="85"/>
      <c r="CM16" s="85"/>
    </row>
    <row r="17" spans="1:91" x14ac:dyDescent="0.3">
      <c r="A17" s="85"/>
      <c r="B17" s="144" t="s">
        <v>22</v>
      </c>
      <c r="C17" s="211" t="s">
        <v>25</v>
      </c>
      <c r="D17" s="208" t="s">
        <v>236</v>
      </c>
      <c r="E17" s="213" t="s">
        <v>237</v>
      </c>
      <c r="F17" s="117"/>
      <c r="G17" s="117"/>
      <c r="H17" s="117"/>
      <c r="I17" s="117"/>
      <c r="J17" s="117"/>
      <c r="K17" s="117"/>
      <c r="L17" s="117"/>
      <c r="M17" s="117"/>
      <c r="N17" s="117"/>
      <c r="O17" s="117"/>
      <c r="P17" s="117"/>
      <c r="Q17" s="117"/>
      <c r="R17" s="172"/>
      <c r="S17" s="117"/>
      <c r="T17" s="118"/>
      <c r="U17" s="118"/>
      <c r="V17" s="117"/>
      <c r="W17" s="117"/>
      <c r="X17" s="117"/>
      <c r="Y17" s="117"/>
      <c r="Z17" s="232" t="s">
        <v>26</v>
      </c>
      <c r="AA17" s="232"/>
      <c r="AB17" s="117"/>
      <c r="AC17" s="145"/>
      <c r="AD17" s="172"/>
      <c r="AE17" s="117"/>
      <c r="AF17" s="117"/>
      <c r="AG17" s="117"/>
      <c r="AH17" s="117"/>
      <c r="AI17" s="117"/>
      <c r="AJ17" s="117"/>
      <c r="AK17" s="117"/>
      <c r="AL17" s="117"/>
      <c r="AM17" s="117"/>
      <c r="AN17" s="117"/>
      <c r="AO17" s="145"/>
      <c r="AP17" s="172"/>
      <c r="AQ17" s="117"/>
      <c r="AR17" s="117"/>
      <c r="AS17" s="117"/>
      <c r="AT17" s="117"/>
      <c r="AU17" s="117"/>
      <c r="AV17" s="117"/>
      <c r="AW17" s="117"/>
      <c r="AX17" s="117"/>
      <c r="AY17" s="117"/>
      <c r="AZ17" s="117"/>
      <c r="BA17" s="145"/>
      <c r="BB17" s="172"/>
      <c r="BC17" s="117"/>
      <c r="BD17" s="117"/>
      <c r="BE17" s="117"/>
      <c r="BF17" s="117"/>
      <c r="BG17" s="117"/>
      <c r="BH17" s="117"/>
      <c r="BI17" s="117"/>
      <c r="BJ17" s="117"/>
      <c r="BK17" s="117"/>
      <c r="BL17" s="117"/>
      <c r="BM17" s="145"/>
      <c r="BN17" s="172"/>
      <c r="BO17" s="117"/>
      <c r="BP17" s="117"/>
      <c r="BQ17" s="117"/>
      <c r="BR17" s="117"/>
      <c r="BS17" s="117"/>
      <c r="BT17" s="117"/>
      <c r="BU17" s="117"/>
      <c r="BV17" s="117"/>
      <c r="BW17" s="117"/>
      <c r="BX17" s="117"/>
      <c r="BY17" s="145"/>
      <c r="BZ17" s="172"/>
      <c r="CA17" s="117"/>
      <c r="CB17" s="117"/>
      <c r="CC17" s="117"/>
      <c r="CD17" s="117"/>
      <c r="CE17" s="117"/>
      <c r="CF17" s="117"/>
      <c r="CG17" s="117"/>
      <c r="CH17" s="117"/>
      <c r="CI17" s="117"/>
      <c r="CJ17" s="117"/>
      <c r="CK17" s="145"/>
      <c r="CL17" s="85"/>
      <c r="CM17" s="85"/>
    </row>
    <row r="18" spans="1:91" ht="17.25" thickBot="1" x14ac:dyDescent="0.35">
      <c r="A18" s="85"/>
      <c r="B18" s="146" t="s">
        <v>22</v>
      </c>
      <c r="C18" s="221" t="s">
        <v>27</v>
      </c>
      <c r="D18" s="218" t="s">
        <v>236</v>
      </c>
      <c r="E18" s="219" t="s">
        <v>237</v>
      </c>
      <c r="F18" s="147"/>
      <c r="G18" s="147"/>
      <c r="H18" s="147"/>
      <c r="I18" s="147"/>
      <c r="J18" s="147"/>
      <c r="K18" s="147"/>
      <c r="L18" s="147"/>
      <c r="M18" s="147"/>
      <c r="N18" s="147"/>
      <c r="O18" s="147"/>
      <c r="P18" s="147"/>
      <c r="Q18" s="147"/>
      <c r="R18" s="173"/>
      <c r="S18" s="147"/>
      <c r="T18" s="147"/>
      <c r="U18" s="147"/>
      <c r="V18" s="147"/>
      <c r="W18" s="147"/>
      <c r="X18" s="147"/>
      <c r="Y18" s="147"/>
      <c r="Z18" s="147"/>
      <c r="AA18" s="147"/>
      <c r="AB18" s="147"/>
      <c r="AC18" s="149"/>
      <c r="AD18" s="173"/>
      <c r="AE18" s="147"/>
      <c r="AF18" s="147"/>
      <c r="AG18" s="147"/>
      <c r="AH18" s="147"/>
      <c r="AI18" s="147"/>
      <c r="AJ18" s="147"/>
      <c r="AK18" s="147"/>
      <c r="AL18" s="147"/>
      <c r="AM18" s="147"/>
      <c r="AN18" s="147"/>
      <c r="AO18" s="149"/>
      <c r="AP18" s="173"/>
      <c r="AQ18" s="147"/>
      <c r="AR18" s="147"/>
      <c r="AS18" s="147"/>
      <c r="AT18" s="147"/>
      <c r="AU18" s="147"/>
      <c r="AV18" s="147"/>
      <c r="AW18" s="147"/>
      <c r="AX18" s="240" t="s">
        <v>26</v>
      </c>
      <c r="AY18" s="240"/>
      <c r="AZ18" s="147"/>
      <c r="BA18" s="149"/>
      <c r="BB18" s="173"/>
      <c r="BC18" s="147"/>
      <c r="BD18" s="147"/>
      <c r="BE18" s="147"/>
      <c r="BF18" s="147"/>
      <c r="BG18" s="147"/>
      <c r="BH18" s="147"/>
      <c r="BI18" s="147"/>
      <c r="BJ18" s="147"/>
      <c r="BK18" s="147"/>
      <c r="BL18" s="147"/>
      <c r="BM18" s="149"/>
      <c r="BN18" s="173"/>
      <c r="BO18" s="147"/>
      <c r="BP18" s="147"/>
      <c r="BQ18" s="147"/>
      <c r="BR18" s="147"/>
      <c r="BS18" s="147"/>
      <c r="BT18" s="147"/>
      <c r="BU18" s="147"/>
      <c r="BV18" s="147"/>
      <c r="BW18" s="147"/>
      <c r="BX18" s="147"/>
      <c r="BY18" s="149"/>
      <c r="BZ18" s="173"/>
      <c r="CA18" s="147"/>
      <c r="CB18" s="147"/>
      <c r="CC18" s="147"/>
      <c r="CD18" s="147"/>
      <c r="CE18" s="147"/>
      <c r="CF18" s="147"/>
      <c r="CG18" s="147"/>
      <c r="CH18" s="147"/>
      <c r="CI18" s="147"/>
      <c r="CJ18" s="147"/>
      <c r="CK18" s="149"/>
      <c r="CL18" s="85"/>
      <c r="CM18" s="85"/>
    </row>
    <row r="19" spans="1:91" x14ac:dyDescent="0.3">
      <c r="A19" s="85"/>
      <c r="B19" s="155" t="s">
        <v>28</v>
      </c>
      <c r="C19" s="214">
        <v>5</v>
      </c>
      <c r="D19" s="215" t="s">
        <v>236</v>
      </c>
      <c r="E19" s="216" t="s">
        <v>237</v>
      </c>
      <c r="F19" s="139"/>
      <c r="G19" s="139"/>
      <c r="H19" s="139"/>
      <c r="I19" s="139"/>
      <c r="J19" s="139"/>
      <c r="K19" s="139"/>
      <c r="L19" s="139"/>
      <c r="M19" s="139"/>
      <c r="N19" s="233" t="s">
        <v>15</v>
      </c>
      <c r="O19" s="233"/>
      <c r="P19" s="139"/>
      <c r="Q19" s="139"/>
      <c r="R19" s="171"/>
      <c r="S19" s="139"/>
      <c r="T19" s="139"/>
      <c r="U19" s="139"/>
      <c r="V19" s="139"/>
      <c r="W19" s="139"/>
      <c r="X19" s="139"/>
      <c r="Y19" s="139"/>
      <c r="Z19" s="156" t="s">
        <v>16</v>
      </c>
      <c r="AA19" s="139"/>
      <c r="AB19" s="139"/>
      <c r="AC19" s="143"/>
      <c r="AD19" s="171"/>
      <c r="AE19" s="139"/>
      <c r="AF19" s="139"/>
      <c r="AG19" s="139"/>
      <c r="AH19" s="139"/>
      <c r="AI19" s="139"/>
      <c r="AJ19" s="139"/>
      <c r="AK19" s="139"/>
      <c r="AL19" s="139"/>
      <c r="AM19" s="139"/>
      <c r="AN19" s="139"/>
      <c r="AO19" s="143"/>
      <c r="AP19" s="171"/>
      <c r="AQ19" s="139"/>
      <c r="AR19" s="139"/>
      <c r="AS19" s="139"/>
      <c r="AT19" s="139"/>
      <c r="AU19" s="139"/>
      <c r="AV19" s="139"/>
      <c r="AW19" s="139"/>
      <c r="AX19" s="139"/>
      <c r="AY19" s="139"/>
      <c r="AZ19" s="139"/>
      <c r="BA19" s="143"/>
      <c r="BB19" s="171"/>
      <c r="BC19" s="139"/>
      <c r="BD19" s="139"/>
      <c r="BE19" s="139"/>
      <c r="BF19" s="139"/>
      <c r="BG19" s="139"/>
      <c r="BH19" s="139"/>
      <c r="BI19" s="139"/>
      <c r="BJ19" s="139"/>
      <c r="BK19" s="139"/>
      <c r="BL19" s="139"/>
      <c r="BM19" s="143"/>
      <c r="BN19" s="171"/>
      <c r="BO19" s="139"/>
      <c r="BP19" s="139"/>
      <c r="BQ19" s="139"/>
      <c r="BR19" s="139"/>
      <c r="BS19" s="139"/>
      <c r="BT19" s="139"/>
      <c r="BU19" s="139"/>
      <c r="BV19" s="139"/>
      <c r="BW19" s="139"/>
      <c r="BX19" s="139"/>
      <c r="BY19" s="143"/>
      <c r="BZ19" s="171"/>
      <c r="CA19" s="139"/>
      <c r="CB19" s="139"/>
      <c r="CC19" s="139"/>
      <c r="CD19" s="139"/>
      <c r="CE19" s="139"/>
      <c r="CF19" s="139"/>
      <c r="CG19" s="139"/>
      <c r="CH19" s="139"/>
      <c r="CI19" s="139"/>
      <c r="CJ19" s="139"/>
      <c r="CK19" s="143"/>
      <c r="CL19" s="85"/>
      <c r="CM19" s="85"/>
    </row>
    <row r="20" spans="1:91" ht="17.25" thickBot="1" x14ac:dyDescent="0.35">
      <c r="A20" s="85"/>
      <c r="B20" s="146" t="s">
        <v>28</v>
      </c>
      <c r="C20" s="217">
        <v>6</v>
      </c>
      <c r="D20" s="218" t="s">
        <v>236</v>
      </c>
      <c r="E20" s="219" t="s">
        <v>237</v>
      </c>
      <c r="F20" s="147"/>
      <c r="G20" s="147"/>
      <c r="H20" s="157" t="s">
        <v>16</v>
      </c>
      <c r="I20" s="147"/>
      <c r="J20" s="147"/>
      <c r="K20" s="147"/>
      <c r="L20" s="147"/>
      <c r="M20" s="147"/>
      <c r="N20" s="147"/>
      <c r="O20" s="147"/>
      <c r="P20" s="147"/>
      <c r="Q20" s="147"/>
      <c r="R20" s="173"/>
      <c r="S20" s="147"/>
      <c r="T20" s="147"/>
      <c r="U20" s="157" t="s">
        <v>16</v>
      </c>
      <c r="V20" s="147"/>
      <c r="W20" s="147"/>
      <c r="X20" s="147"/>
      <c r="Y20" s="147"/>
      <c r="Z20" s="147"/>
      <c r="AA20" s="147"/>
      <c r="AB20" s="147"/>
      <c r="AC20" s="149"/>
      <c r="AD20" s="173"/>
      <c r="AE20" s="147"/>
      <c r="AF20" s="240" t="s">
        <v>26</v>
      </c>
      <c r="AG20" s="240"/>
      <c r="AH20" s="240"/>
      <c r="AI20" s="147"/>
      <c r="AJ20" s="147"/>
      <c r="AK20" s="147"/>
      <c r="AL20" s="147"/>
      <c r="AM20" s="147"/>
      <c r="AN20" s="147"/>
      <c r="AO20" s="149"/>
      <c r="AP20" s="173"/>
      <c r="AQ20" s="147"/>
      <c r="AR20" s="147"/>
      <c r="AS20" s="147"/>
      <c r="AT20" s="147"/>
      <c r="AU20" s="147"/>
      <c r="AV20" s="147"/>
      <c r="AW20" s="147"/>
      <c r="AX20" s="147"/>
      <c r="AY20" s="147"/>
      <c r="AZ20" s="147"/>
      <c r="BA20" s="149"/>
      <c r="BB20" s="173"/>
      <c r="BC20" s="147"/>
      <c r="BD20" s="147"/>
      <c r="BE20" s="147"/>
      <c r="BF20" s="147"/>
      <c r="BG20" s="147"/>
      <c r="BH20" s="147"/>
      <c r="BI20" s="147"/>
      <c r="BJ20" s="147"/>
      <c r="BK20" s="147"/>
      <c r="BL20" s="147"/>
      <c r="BM20" s="149"/>
      <c r="BN20" s="173"/>
      <c r="BO20" s="147"/>
      <c r="BP20" s="147"/>
      <c r="BQ20" s="147"/>
      <c r="BR20" s="147"/>
      <c r="BS20" s="147"/>
      <c r="BT20" s="147"/>
      <c r="BU20" s="147"/>
      <c r="BV20" s="147"/>
      <c r="BW20" s="147"/>
      <c r="BX20" s="147"/>
      <c r="BY20" s="149"/>
      <c r="BZ20" s="173"/>
      <c r="CA20" s="147"/>
      <c r="CB20" s="147"/>
      <c r="CC20" s="147"/>
      <c r="CD20" s="147"/>
      <c r="CE20" s="147"/>
      <c r="CF20" s="147"/>
      <c r="CG20" s="147"/>
      <c r="CH20" s="147"/>
      <c r="CI20" s="147"/>
      <c r="CJ20" s="147"/>
      <c r="CK20" s="149"/>
      <c r="CL20" s="85"/>
      <c r="CM20" s="85"/>
    </row>
    <row r="21" spans="1:91" x14ac:dyDescent="0.3">
      <c r="A21" s="85"/>
      <c r="B21" s="155" t="s">
        <v>29</v>
      </c>
      <c r="C21" s="214">
        <v>1</v>
      </c>
      <c r="D21" s="215" t="s">
        <v>236</v>
      </c>
      <c r="E21" s="216" t="s">
        <v>237</v>
      </c>
      <c r="F21" s="139"/>
      <c r="G21" s="139"/>
      <c r="H21" s="139"/>
      <c r="I21" s="139"/>
      <c r="J21" s="139"/>
      <c r="K21" s="139"/>
      <c r="L21" s="139"/>
      <c r="M21" s="139"/>
      <c r="N21" s="139"/>
      <c r="O21" s="139"/>
      <c r="P21" s="139"/>
      <c r="Q21" s="139"/>
      <c r="R21" s="171"/>
      <c r="S21" s="139"/>
      <c r="T21" s="139"/>
      <c r="U21" s="139"/>
      <c r="V21" s="139"/>
      <c r="W21" s="139"/>
      <c r="X21" s="139"/>
      <c r="Y21" s="139"/>
      <c r="Z21" s="139"/>
      <c r="AA21" s="139"/>
      <c r="AB21" s="139"/>
      <c r="AC21" s="143"/>
      <c r="AD21" s="171"/>
      <c r="AE21" s="139"/>
      <c r="AF21" s="139"/>
      <c r="AG21" s="139"/>
      <c r="AH21" s="139"/>
      <c r="AI21" s="139"/>
      <c r="AJ21" s="139"/>
      <c r="AK21" s="139"/>
      <c r="AL21" s="140"/>
      <c r="AM21" s="274" t="s">
        <v>26</v>
      </c>
      <c r="AN21" s="274"/>
      <c r="AO21" s="275"/>
      <c r="AP21" s="171"/>
      <c r="AQ21" s="139"/>
      <c r="AR21" s="139"/>
      <c r="AS21" s="139"/>
      <c r="AT21" s="139"/>
      <c r="AU21" s="139"/>
      <c r="AV21" s="139"/>
      <c r="AW21" s="139"/>
      <c r="AX21" s="139"/>
      <c r="AY21" s="139"/>
      <c r="AZ21" s="139"/>
      <c r="BA21" s="143"/>
      <c r="BB21" s="171"/>
      <c r="BC21" s="139"/>
      <c r="BD21" s="139"/>
      <c r="BE21" s="139"/>
      <c r="BF21" s="139"/>
      <c r="BG21" s="139"/>
      <c r="BH21" s="139"/>
      <c r="BI21" s="139"/>
      <c r="BJ21" s="139"/>
      <c r="BK21" s="139"/>
      <c r="BL21" s="139"/>
      <c r="BM21" s="143"/>
      <c r="BN21" s="171"/>
      <c r="BO21" s="139"/>
      <c r="BP21" s="139"/>
      <c r="BQ21" s="139"/>
      <c r="BR21" s="139"/>
      <c r="BS21" s="139"/>
      <c r="BT21" s="139"/>
      <c r="BU21" s="139"/>
      <c r="BV21" s="139"/>
      <c r="BW21" s="139"/>
      <c r="BX21" s="139"/>
      <c r="BY21" s="143"/>
      <c r="BZ21" s="171"/>
      <c r="CA21" s="139"/>
      <c r="CB21" s="139"/>
      <c r="CC21" s="139"/>
      <c r="CD21" s="139"/>
      <c r="CE21" s="139"/>
      <c r="CF21" s="139"/>
      <c r="CG21" s="139"/>
      <c r="CH21" s="139"/>
      <c r="CI21" s="139"/>
      <c r="CJ21" s="139"/>
      <c r="CK21" s="143"/>
      <c r="CL21" s="85"/>
      <c r="CM21" s="85"/>
    </row>
    <row r="22" spans="1:91" ht="17.25" thickBot="1" x14ac:dyDescent="0.35">
      <c r="A22" s="85"/>
      <c r="B22" s="146" t="s">
        <v>29</v>
      </c>
      <c r="C22" s="217">
        <v>2</v>
      </c>
      <c r="D22" s="218" t="s">
        <v>236</v>
      </c>
      <c r="E22" s="219" t="s">
        <v>237</v>
      </c>
      <c r="F22" s="147"/>
      <c r="G22" s="147"/>
      <c r="H22" s="147"/>
      <c r="I22" s="147"/>
      <c r="J22" s="147"/>
      <c r="K22" s="147"/>
      <c r="L22" s="147"/>
      <c r="M22" s="147"/>
      <c r="N22" s="147"/>
      <c r="O22" s="147"/>
      <c r="P22" s="147"/>
      <c r="Q22" s="147"/>
      <c r="R22" s="173"/>
      <c r="S22" s="147"/>
      <c r="T22" s="147"/>
      <c r="U22" s="147"/>
      <c r="V22" s="147"/>
      <c r="W22" s="147"/>
      <c r="X22" s="147"/>
      <c r="Y22" s="147"/>
      <c r="Z22" s="147"/>
      <c r="AA22" s="273" t="s">
        <v>16</v>
      </c>
      <c r="AB22" s="273"/>
      <c r="AC22" s="149"/>
      <c r="AD22" s="173"/>
      <c r="AE22" s="147"/>
      <c r="AF22" s="147"/>
      <c r="AG22" s="147"/>
      <c r="AH22" s="147"/>
      <c r="AI22" s="147"/>
      <c r="AJ22" s="147"/>
      <c r="AK22" s="147"/>
      <c r="AL22" s="147"/>
      <c r="AM22" s="147"/>
      <c r="AN22" s="147"/>
      <c r="AO22" s="149"/>
      <c r="AP22" s="173"/>
      <c r="AQ22" s="147"/>
      <c r="AR22" s="147"/>
      <c r="AS22" s="147"/>
      <c r="AT22" s="147"/>
      <c r="AU22" s="147"/>
      <c r="AV22" s="147"/>
      <c r="AW22" s="147"/>
      <c r="AX22" s="148"/>
      <c r="AY22" s="276" t="s">
        <v>26</v>
      </c>
      <c r="AZ22" s="276"/>
      <c r="BA22" s="277"/>
      <c r="BB22" s="173"/>
      <c r="BC22" s="147"/>
      <c r="BD22" s="147"/>
      <c r="BE22" s="147"/>
      <c r="BF22" s="147"/>
      <c r="BG22" s="147"/>
      <c r="BH22" s="147"/>
      <c r="BI22" s="147"/>
      <c r="BJ22" s="147"/>
      <c r="BK22" s="147"/>
      <c r="BL22" s="147"/>
      <c r="BM22" s="149"/>
      <c r="BN22" s="173"/>
      <c r="BO22" s="147"/>
      <c r="BP22" s="147"/>
      <c r="BQ22" s="147"/>
      <c r="BR22" s="147"/>
      <c r="BS22" s="147"/>
      <c r="BT22" s="147"/>
      <c r="BU22" s="147"/>
      <c r="BV22" s="147"/>
      <c r="BW22" s="147"/>
      <c r="BX22" s="147"/>
      <c r="BY22" s="149"/>
      <c r="BZ22" s="173"/>
      <c r="CA22" s="147"/>
      <c r="CB22" s="147"/>
      <c r="CC22" s="147"/>
      <c r="CD22" s="147"/>
      <c r="CE22" s="147"/>
      <c r="CF22" s="147"/>
      <c r="CG22" s="147"/>
      <c r="CH22" s="147"/>
      <c r="CI22" s="147"/>
      <c r="CJ22" s="147"/>
      <c r="CK22" s="149"/>
      <c r="CL22" s="85"/>
      <c r="CM22" s="85"/>
    </row>
    <row r="23" spans="1:91" ht="17.25" thickBot="1" x14ac:dyDescent="0.35">
      <c r="A23" s="85"/>
      <c r="B23" s="158" t="s">
        <v>30</v>
      </c>
      <c r="C23" s="222">
        <v>1</v>
      </c>
      <c r="D23" s="223" t="s">
        <v>236</v>
      </c>
      <c r="E23" s="224" t="s">
        <v>238</v>
      </c>
      <c r="F23" s="159"/>
      <c r="G23" s="159"/>
      <c r="H23" s="159"/>
      <c r="I23" s="159"/>
      <c r="J23" s="159"/>
      <c r="K23" s="159"/>
      <c r="L23" s="159"/>
      <c r="M23" s="159"/>
      <c r="N23" s="159"/>
      <c r="O23" s="159"/>
      <c r="P23" s="159"/>
      <c r="Q23" s="159"/>
      <c r="R23" s="177"/>
      <c r="S23" s="159"/>
      <c r="T23" s="159"/>
      <c r="U23" s="159"/>
      <c r="V23" s="159"/>
      <c r="W23" s="159"/>
      <c r="X23" s="159"/>
      <c r="Y23" s="159"/>
      <c r="Z23" s="159"/>
      <c r="AA23" s="159"/>
      <c r="AB23" s="159"/>
      <c r="AC23" s="160"/>
      <c r="AD23" s="177"/>
      <c r="AE23" s="159"/>
      <c r="AF23" s="159"/>
      <c r="AG23" s="159"/>
      <c r="AH23" s="159"/>
      <c r="AI23" s="159"/>
      <c r="AJ23" s="159"/>
      <c r="AK23" s="159"/>
      <c r="AL23" s="159"/>
      <c r="AM23" s="159"/>
      <c r="AN23" s="159"/>
      <c r="AO23" s="160"/>
      <c r="AP23" s="177"/>
      <c r="AQ23" s="159"/>
      <c r="AR23" s="159"/>
      <c r="AS23" s="159"/>
      <c r="AT23" s="159"/>
      <c r="AU23" s="159"/>
      <c r="AV23" s="159"/>
      <c r="AW23" s="159"/>
      <c r="AX23" s="159"/>
      <c r="AY23" s="159"/>
      <c r="AZ23" s="159"/>
      <c r="BA23" s="160"/>
      <c r="BB23" s="177"/>
      <c r="BC23" s="159"/>
      <c r="BD23" s="159"/>
      <c r="BE23" s="159"/>
      <c r="BF23" s="159"/>
      <c r="BG23" s="159"/>
      <c r="BH23" s="159"/>
      <c r="BI23" s="159"/>
      <c r="BJ23" s="159"/>
      <c r="BK23" s="159"/>
      <c r="BL23" s="159"/>
      <c r="BM23" s="160"/>
      <c r="BN23" s="177"/>
      <c r="BO23" s="159"/>
      <c r="BP23" s="159"/>
      <c r="BQ23" s="159"/>
      <c r="BR23" s="159"/>
      <c r="BS23" s="159"/>
      <c r="BT23" s="159"/>
      <c r="BU23" s="159"/>
      <c r="BV23" s="159"/>
      <c r="BW23" s="159"/>
      <c r="BX23" s="159"/>
      <c r="BY23" s="160"/>
      <c r="BZ23" s="177"/>
      <c r="CA23" s="159"/>
      <c r="CB23" s="159"/>
      <c r="CC23" s="159"/>
      <c r="CD23" s="159"/>
      <c r="CE23" s="159"/>
      <c r="CF23" s="159"/>
      <c r="CG23" s="159"/>
      <c r="CH23" s="159"/>
      <c r="CI23" s="159"/>
      <c r="CJ23" s="159"/>
      <c r="CK23" s="160"/>
      <c r="CL23" s="85"/>
      <c r="CM23" s="85"/>
    </row>
    <row r="24" spans="1:91" ht="17.25" thickBot="1" x14ac:dyDescent="0.35">
      <c r="A24" s="85"/>
      <c r="B24" s="161" t="s">
        <v>137</v>
      </c>
      <c r="C24" s="225" t="s">
        <v>138</v>
      </c>
      <c r="D24" s="223" t="s">
        <v>236</v>
      </c>
      <c r="E24" s="224" t="s">
        <v>237</v>
      </c>
      <c r="F24" s="159"/>
      <c r="G24" s="159"/>
      <c r="H24" s="159"/>
      <c r="I24" s="159"/>
      <c r="J24" s="159"/>
      <c r="K24" s="159"/>
      <c r="L24" s="159"/>
      <c r="M24" s="159"/>
      <c r="N24" s="159"/>
      <c r="O24" s="159"/>
      <c r="P24" s="159"/>
      <c r="Q24" s="159"/>
      <c r="R24" s="177"/>
      <c r="S24" s="159"/>
      <c r="T24" s="159"/>
      <c r="U24" s="261" t="s">
        <v>16</v>
      </c>
      <c r="V24" s="261"/>
      <c r="W24" s="159"/>
      <c r="X24" s="159"/>
      <c r="Y24" s="159"/>
      <c r="Z24" s="159"/>
      <c r="AA24" s="159"/>
      <c r="AB24" s="159"/>
      <c r="AC24" s="160"/>
      <c r="AD24" s="177"/>
      <c r="AE24" s="159"/>
      <c r="AF24" s="159"/>
      <c r="AG24" s="159"/>
      <c r="AH24" s="159"/>
      <c r="AI24" s="159"/>
      <c r="AJ24" s="159"/>
      <c r="AK24" s="159"/>
      <c r="AL24" s="159"/>
      <c r="AM24" s="159"/>
      <c r="AN24" s="159"/>
      <c r="AO24" s="160"/>
      <c r="AP24" s="177"/>
      <c r="AQ24" s="159"/>
      <c r="AR24" s="159"/>
      <c r="AS24" s="159"/>
      <c r="AT24" s="159"/>
      <c r="AU24" s="159"/>
      <c r="AV24" s="159"/>
      <c r="AW24" s="159"/>
      <c r="AX24" s="159"/>
      <c r="AY24" s="159"/>
      <c r="AZ24" s="159"/>
      <c r="BA24" s="160"/>
      <c r="BB24" s="177"/>
      <c r="BC24" s="159"/>
      <c r="BD24" s="159"/>
      <c r="BE24" s="159"/>
      <c r="BF24" s="159"/>
      <c r="BG24" s="159"/>
      <c r="BH24" s="159"/>
      <c r="BI24" s="159"/>
      <c r="BJ24" s="159"/>
      <c r="BK24" s="159"/>
      <c r="BL24" s="159"/>
      <c r="BM24" s="160"/>
      <c r="BN24" s="177"/>
      <c r="BO24" s="159"/>
      <c r="BP24" s="159"/>
      <c r="BQ24" s="159"/>
      <c r="BR24" s="159"/>
      <c r="BS24" s="159"/>
      <c r="BT24" s="159"/>
      <c r="BU24" s="159"/>
      <c r="BV24" s="159"/>
      <c r="BW24" s="159"/>
      <c r="BX24" s="159"/>
      <c r="BY24" s="160"/>
      <c r="BZ24" s="177"/>
      <c r="CA24" s="159"/>
      <c r="CB24" s="159"/>
      <c r="CC24" s="159"/>
      <c r="CD24" s="159"/>
      <c r="CE24" s="159"/>
      <c r="CF24" s="159"/>
      <c r="CG24" s="159"/>
      <c r="CH24" s="159"/>
      <c r="CI24" s="159"/>
      <c r="CJ24" s="159"/>
      <c r="CK24" s="160"/>
      <c r="CL24" s="85"/>
      <c r="CM24" s="85"/>
    </row>
    <row r="25" spans="1:91" x14ac:dyDescent="0.3">
      <c r="A25" s="85"/>
      <c r="B25" s="155" t="s">
        <v>31</v>
      </c>
      <c r="C25" s="214">
        <v>1</v>
      </c>
      <c r="D25" s="215" t="s">
        <v>236</v>
      </c>
      <c r="E25" s="216" t="s">
        <v>237</v>
      </c>
      <c r="F25" s="139"/>
      <c r="G25" s="139"/>
      <c r="H25" s="139"/>
      <c r="I25" s="139"/>
      <c r="J25" s="156" t="s">
        <v>16</v>
      </c>
      <c r="K25" s="139"/>
      <c r="L25" s="139"/>
      <c r="M25" s="139"/>
      <c r="N25" s="139"/>
      <c r="O25" s="139"/>
      <c r="P25" s="156" t="s">
        <v>16</v>
      </c>
      <c r="Q25" s="139"/>
      <c r="R25" s="171"/>
      <c r="S25" s="139"/>
      <c r="T25" s="139"/>
      <c r="U25" s="139"/>
      <c r="V25" s="156" t="s">
        <v>16</v>
      </c>
      <c r="W25" s="139"/>
      <c r="X25" s="139"/>
      <c r="Y25" s="139"/>
      <c r="Z25" s="139"/>
      <c r="AA25" s="139"/>
      <c r="AB25" s="156" t="s">
        <v>16</v>
      </c>
      <c r="AC25" s="143"/>
      <c r="AD25" s="171"/>
      <c r="AE25" s="139"/>
      <c r="AF25" s="139"/>
      <c r="AG25" s="162"/>
      <c r="AH25" s="162"/>
      <c r="AI25" s="162"/>
      <c r="AJ25" s="278" t="s">
        <v>15</v>
      </c>
      <c r="AK25" s="278"/>
      <c r="AL25" s="278"/>
      <c r="AM25" s="139"/>
      <c r="AN25" s="139"/>
      <c r="AO25" s="154"/>
      <c r="AP25" s="171"/>
      <c r="AQ25" s="139"/>
      <c r="AR25" s="139"/>
      <c r="AS25" s="139"/>
      <c r="AT25" s="279" t="s">
        <v>16</v>
      </c>
      <c r="AU25" s="279"/>
      <c r="AV25" s="139"/>
      <c r="AW25" s="139"/>
      <c r="AX25" s="139"/>
      <c r="AY25" s="139"/>
      <c r="AZ25" s="139"/>
      <c r="BA25" s="143"/>
      <c r="BB25" s="171"/>
      <c r="BC25" s="139"/>
      <c r="BD25" s="206" t="s">
        <v>16</v>
      </c>
      <c r="BE25" s="139"/>
      <c r="BF25" s="139"/>
      <c r="BG25" s="139"/>
      <c r="BH25" s="139"/>
      <c r="BI25" s="139"/>
      <c r="BJ25" s="139"/>
      <c r="BK25" s="139"/>
      <c r="BL25" s="139"/>
      <c r="BM25" s="143"/>
      <c r="BN25" s="171"/>
      <c r="BO25" s="139"/>
      <c r="BP25" s="139"/>
      <c r="BQ25" s="139"/>
      <c r="BR25" s="139"/>
      <c r="BS25" s="139"/>
      <c r="BT25" s="139"/>
      <c r="BU25" s="139"/>
      <c r="BV25" s="139"/>
      <c r="BW25" s="139"/>
      <c r="BX25" s="139"/>
      <c r="BY25" s="143"/>
      <c r="BZ25" s="171"/>
      <c r="CA25" s="139"/>
      <c r="CB25" s="139"/>
      <c r="CC25" s="139"/>
      <c r="CD25" s="139"/>
      <c r="CE25" s="139"/>
      <c r="CF25" s="139"/>
      <c r="CG25" s="139"/>
      <c r="CH25" s="139"/>
      <c r="CI25" s="139"/>
      <c r="CJ25" s="139"/>
      <c r="CK25" s="143"/>
      <c r="CL25" s="85"/>
      <c r="CM25" s="85"/>
    </row>
    <row r="26" spans="1:91" x14ac:dyDescent="0.3">
      <c r="A26" s="85"/>
      <c r="B26" s="144" t="s">
        <v>31</v>
      </c>
      <c r="C26" s="209">
        <v>2</v>
      </c>
      <c r="D26" s="208" t="s">
        <v>236</v>
      </c>
      <c r="E26" s="213" t="s">
        <v>237</v>
      </c>
      <c r="F26" s="117"/>
      <c r="G26" s="117"/>
      <c r="H26" s="117"/>
      <c r="I26" s="120" t="s">
        <v>16</v>
      </c>
      <c r="J26" s="117"/>
      <c r="K26" s="117"/>
      <c r="L26" s="117"/>
      <c r="M26" s="117"/>
      <c r="N26" s="117"/>
      <c r="O26" s="117"/>
      <c r="P26" s="117"/>
      <c r="Q26" s="120" t="s">
        <v>16</v>
      </c>
      <c r="R26" s="172"/>
      <c r="S26" s="187"/>
      <c r="T26" s="117"/>
      <c r="U26" s="120" t="s">
        <v>16</v>
      </c>
      <c r="V26" s="117"/>
      <c r="W26" s="117"/>
      <c r="X26" s="187"/>
      <c r="Y26" s="117"/>
      <c r="Z26" s="238" t="s">
        <v>16</v>
      </c>
      <c r="AA26" s="238"/>
      <c r="AB26" s="117"/>
      <c r="AC26" s="145"/>
      <c r="AD26" s="172"/>
      <c r="AE26" s="117"/>
      <c r="AF26" s="117"/>
      <c r="AG26" s="118"/>
      <c r="AH26" s="117"/>
      <c r="AI26" s="117"/>
      <c r="AJ26" s="205" t="s">
        <v>16</v>
      </c>
      <c r="AK26" s="117"/>
      <c r="AL26" s="118"/>
      <c r="AM26" s="117"/>
      <c r="AN26" s="117"/>
      <c r="AO26" s="145"/>
      <c r="AP26" s="172"/>
      <c r="AQ26" s="117"/>
      <c r="AR26" s="117"/>
      <c r="AS26" s="117"/>
      <c r="AT26" s="117"/>
      <c r="AU26" s="117"/>
      <c r="AV26" s="239" t="s">
        <v>15</v>
      </c>
      <c r="AW26" s="239"/>
      <c r="AX26" s="239"/>
      <c r="AY26" s="117"/>
      <c r="AZ26" s="117"/>
      <c r="BA26" s="145"/>
      <c r="BB26" s="172"/>
      <c r="BC26" s="117"/>
      <c r="BD26" s="117"/>
      <c r="BE26" s="117"/>
      <c r="BF26" s="117"/>
      <c r="BG26" s="117"/>
      <c r="BH26" s="205" t="s">
        <v>16</v>
      </c>
      <c r="BI26" s="117"/>
      <c r="BJ26" s="117"/>
      <c r="BK26" s="117"/>
      <c r="BL26" s="117"/>
      <c r="BM26" s="145"/>
      <c r="BN26" s="172"/>
      <c r="BO26" s="117"/>
      <c r="BP26" s="117"/>
      <c r="BQ26" s="117"/>
      <c r="BR26" s="117"/>
      <c r="BS26" s="117"/>
      <c r="BT26" s="117"/>
      <c r="BU26" s="117"/>
      <c r="BV26" s="117"/>
      <c r="BW26" s="117"/>
      <c r="BX26" s="117"/>
      <c r="BY26" s="145"/>
      <c r="BZ26" s="172"/>
      <c r="CA26" s="117"/>
      <c r="CB26" s="117"/>
      <c r="CC26" s="117"/>
      <c r="CD26" s="117"/>
      <c r="CE26" s="117"/>
      <c r="CF26" s="117"/>
      <c r="CG26" s="117"/>
      <c r="CH26" s="117"/>
      <c r="CI26" s="117"/>
      <c r="CJ26" s="117"/>
      <c r="CK26" s="145"/>
      <c r="CL26" s="85"/>
      <c r="CM26" s="85"/>
    </row>
    <row r="27" spans="1:91" x14ac:dyDescent="0.3">
      <c r="A27" s="85"/>
      <c r="B27" s="144" t="s">
        <v>31</v>
      </c>
      <c r="C27" s="209">
        <v>3</v>
      </c>
      <c r="D27" s="208" t="s">
        <v>236</v>
      </c>
      <c r="E27" s="213" t="s">
        <v>237</v>
      </c>
      <c r="F27" s="117"/>
      <c r="G27" s="117"/>
      <c r="H27" s="117"/>
      <c r="I27" s="117"/>
      <c r="J27" s="117"/>
      <c r="K27" s="117"/>
      <c r="L27" s="117"/>
      <c r="M27" s="237" t="s">
        <v>15</v>
      </c>
      <c r="N27" s="237"/>
      <c r="O27" s="119"/>
      <c r="P27" s="119"/>
      <c r="Q27" s="117"/>
      <c r="R27" s="172"/>
      <c r="S27" s="117"/>
      <c r="T27" s="117"/>
      <c r="U27" s="205" t="s">
        <v>16</v>
      </c>
      <c r="V27" s="117"/>
      <c r="W27" s="117"/>
      <c r="X27" s="117"/>
      <c r="Y27" s="117"/>
      <c r="Z27" s="205" t="s">
        <v>16</v>
      </c>
      <c r="AA27" s="117"/>
      <c r="AB27" s="117"/>
      <c r="AC27" s="145"/>
      <c r="AD27" s="183" t="s">
        <v>16</v>
      </c>
      <c r="AE27" s="118"/>
      <c r="AF27" s="117"/>
      <c r="AG27" s="117"/>
      <c r="AH27" s="117"/>
      <c r="AI27" s="117"/>
      <c r="AJ27" s="118"/>
      <c r="AK27" s="117"/>
      <c r="AL27" s="117"/>
      <c r="AM27" s="117"/>
      <c r="AN27" s="238" t="s">
        <v>16</v>
      </c>
      <c r="AO27" s="280"/>
      <c r="AP27" s="172"/>
      <c r="AQ27" s="117"/>
      <c r="AR27" s="117"/>
      <c r="AS27" s="117"/>
      <c r="AT27" s="117"/>
      <c r="AU27" s="117"/>
      <c r="AV27" s="117"/>
      <c r="AW27" s="117"/>
      <c r="AX27" s="117"/>
      <c r="AY27" s="205" t="s">
        <v>16</v>
      </c>
      <c r="AZ27" s="117"/>
      <c r="BA27" s="145"/>
      <c r="BB27" s="172"/>
      <c r="BC27" s="117"/>
      <c r="BD27" s="117"/>
      <c r="BE27" s="117"/>
      <c r="BF27" s="117"/>
      <c r="BG27" s="117"/>
      <c r="BH27" s="117"/>
      <c r="BI27" s="238" t="s">
        <v>16</v>
      </c>
      <c r="BJ27" s="238"/>
      <c r="BK27" s="117"/>
      <c r="BL27" s="117"/>
      <c r="BM27" s="145"/>
      <c r="BN27" s="172"/>
      <c r="BO27" s="117"/>
      <c r="BP27" s="117"/>
      <c r="BQ27" s="117"/>
      <c r="BR27" s="117"/>
      <c r="BS27" s="117"/>
      <c r="BT27" s="239" t="s">
        <v>15</v>
      </c>
      <c r="BU27" s="239"/>
      <c r="BV27" s="239"/>
      <c r="BW27" s="117"/>
      <c r="BX27" s="117"/>
      <c r="BY27" s="145"/>
      <c r="BZ27" s="172"/>
      <c r="CA27" s="117"/>
      <c r="CB27" s="117"/>
      <c r="CC27" s="117"/>
      <c r="CD27" s="117"/>
      <c r="CE27" s="117"/>
      <c r="CF27" s="117"/>
      <c r="CG27" s="117"/>
      <c r="CH27" s="117"/>
      <c r="CI27" s="117"/>
      <c r="CJ27" s="117"/>
      <c r="CK27" s="145"/>
      <c r="CL27" s="85"/>
      <c r="CM27" s="85"/>
    </row>
    <row r="28" spans="1:91" ht="17.25" thickBot="1" x14ac:dyDescent="0.35">
      <c r="A28" s="85"/>
      <c r="B28" s="146" t="s">
        <v>31</v>
      </c>
      <c r="C28" s="217">
        <v>4</v>
      </c>
      <c r="D28" s="218" t="s">
        <v>236</v>
      </c>
      <c r="E28" s="219" t="s">
        <v>237</v>
      </c>
      <c r="F28" s="147"/>
      <c r="G28" s="147"/>
      <c r="H28" s="157" t="s">
        <v>16</v>
      </c>
      <c r="I28" s="147"/>
      <c r="J28" s="147"/>
      <c r="K28" s="147"/>
      <c r="L28" s="157" t="s">
        <v>16</v>
      </c>
      <c r="M28" s="147"/>
      <c r="N28" s="147"/>
      <c r="O28" s="147"/>
      <c r="P28" s="147"/>
      <c r="Q28" s="147"/>
      <c r="R28" s="181" t="s">
        <v>16</v>
      </c>
      <c r="S28" s="147"/>
      <c r="T28" s="147"/>
      <c r="U28" s="147"/>
      <c r="V28" s="147"/>
      <c r="W28" s="193"/>
      <c r="X28" s="157" t="s">
        <v>16</v>
      </c>
      <c r="Y28" s="147"/>
      <c r="Z28" s="147"/>
      <c r="AA28" s="147"/>
      <c r="AB28" s="193"/>
      <c r="AC28" s="182" t="s">
        <v>16</v>
      </c>
      <c r="AD28" s="173"/>
      <c r="AE28" s="147"/>
      <c r="AF28" s="148"/>
      <c r="AG28" s="147"/>
      <c r="AH28" s="147"/>
      <c r="AI28" s="147"/>
      <c r="AJ28" s="147"/>
      <c r="AK28" s="148"/>
      <c r="AL28" s="147"/>
      <c r="AM28" s="163" t="s">
        <v>16</v>
      </c>
      <c r="AN28" s="147"/>
      <c r="AO28" s="149"/>
      <c r="AP28" s="173"/>
      <c r="AQ28" s="147"/>
      <c r="AR28" s="147"/>
      <c r="AS28" s="147"/>
      <c r="AT28" s="147"/>
      <c r="AU28" s="147"/>
      <c r="AV28" s="147"/>
      <c r="AW28" s="147"/>
      <c r="AX28" s="147"/>
      <c r="AY28" s="163" t="s">
        <v>16</v>
      </c>
      <c r="AZ28" s="147"/>
      <c r="BA28" s="149"/>
      <c r="BB28" s="173"/>
      <c r="BC28" s="147"/>
      <c r="BD28" s="147"/>
      <c r="BE28" s="147"/>
      <c r="BF28" s="147"/>
      <c r="BG28" s="147"/>
      <c r="BH28" s="147"/>
      <c r="BI28" s="147"/>
      <c r="BJ28" s="163" t="s">
        <v>16</v>
      </c>
      <c r="BK28" s="147"/>
      <c r="BL28" s="147"/>
      <c r="BM28" s="149"/>
      <c r="BN28" s="173"/>
      <c r="BO28" s="147"/>
      <c r="BP28" s="147"/>
      <c r="BQ28" s="147"/>
      <c r="BR28" s="147"/>
      <c r="BS28" s="147"/>
      <c r="BT28" s="147"/>
      <c r="BU28" s="147"/>
      <c r="BV28" s="147"/>
      <c r="BW28" s="147"/>
      <c r="BX28" s="147"/>
      <c r="BY28" s="149"/>
      <c r="BZ28" s="173"/>
      <c r="CA28" s="147"/>
      <c r="CB28" s="147"/>
      <c r="CC28" s="147"/>
      <c r="CD28" s="147"/>
      <c r="CE28" s="147"/>
      <c r="CF28" s="286" t="s">
        <v>15</v>
      </c>
      <c r="CG28" s="286"/>
      <c r="CH28" s="286"/>
      <c r="CI28" s="147"/>
      <c r="CJ28" s="147"/>
      <c r="CK28" s="149"/>
      <c r="CL28" s="85"/>
      <c r="CM28" s="85"/>
    </row>
    <row r="29" spans="1:91" x14ac:dyDescent="0.3">
      <c r="A29" s="85"/>
      <c r="B29" s="155" t="s">
        <v>32</v>
      </c>
      <c r="C29" s="214">
        <v>1</v>
      </c>
      <c r="D29" s="215" t="s">
        <v>236</v>
      </c>
      <c r="E29" s="216" t="s">
        <v>237</v>
      </c>
      <c r="F29" s="139"/>
      <c r="G29" s="139"/>
      <c r="H29" s="263" t="s">
        <v>16</v>
      </c>
      <c r="I29" s="263"/>
      <c r="J29" s="139"/>
      <c r="K29" s="139"/>
      <c r="L29" s="139"/>
      <c r="M29" s="139"/>
      <c r="N29" s="139"/>
      <c r="O29" s="139"/>
      <c r="P29" s="139"/>
      <c r="Q29" s="139"/>
      <c r="R29" s="171"/>
      <c r="S29" s="139"/>
      <c r="T29" s="139"/>
      <c r="U29" s="139"/>
      <c r="V29" s="139"/>
      <c r="W29" s="139"/>
      <c r="X29" s="139"/>
      <c r="Y29" s="139"/>
      <c r="Z29" s="139"/>
      <c r="AA29" s="139"/>
      <c r="AB29" s="139"/>
      <c r="AC29" s="143"/>
      <c r="AD29" s="171"/>
      <c r="AE29" s="139"/>
      <c r="AF29" s="139"/>
      <c r="AG29" s="139"/>
      <c r="AH29" s="139"/>
      <c r="AI29" s="139"/>
      <c r="AJ29" s="139"/>
      <c r="AK29" s="139"/>
      <c r="AL29" s="139"/>
      <c r="AM29" s="139"/>
      <c r="AN29" s="139"/>
      <c r="AO29" s="143"/>
      <c r="AP29" s="171"/>
      <c r="AQ29" s="139"/>
      <c r="AR29" s="139"/>
      <c r="AS29" s="139"/>
      <c r="AT29" s="139"/>
      <c r="AU29" s="139"/>
      <c r="AV29" s="139"/>
      <c r="AW29" s="139"/>
      <c r="AX29" s="258" t="s">
        <v>15</v>
      </c>
      <c r="AY29" s="258"/>
      <c r="AZ29" s="258"/>
      <c r="BA29" s="143"/>
      <c r="BB29" s="171"/>
      <c r="BC29" s="139"/>
      <c r="BD29" s="139"/>
      <c r="BE29" s="139"/>
      <c r="BF29" s="139"/>
      <c r="BG29" s="139"/>
      <c r="BH29" s="139"/>
      <c r="BI29" s="139"/>
      <c r="BJ29" s="139"/>
      <c r="BK29" s="139"/>
      <c r="BL29" s="139"/>
      <c r="BM29" s="143"/>
      <c r="BN29" s="171"/>
      <c r="BO29" s="139"/>
      <c r="BP29" s="139"/>
      <c r="BQ29" s="139"/>
      <c r="BR29" s="139"/>
      <c r="BS29" s="139"/>
      <c r="BT29" s="139"/>
      <c r="BU29" s="139"/>
      <c r="BV29" s="139"/>
      <c r="BW29" s="139"/>
      <c r="BX29" s="139"/>
      <c r="BY29" s="143"/>
      <c r="BZ29" s="171"/>
      <c r="CA29" s="139"/>
      <c r="CB29" s="139"/>
      <c r="CC29" s="139"/>
      <c r="CD29" s="139"/>
      <c r="CE29" s="139"/>
      <c r="CF29" s="139"/>
      <c r="CG29" s="139"/>
      <c r="CH29" s="139"/>
      <c r="CI29" s="139"/>
      <c r="CJ29" s="139"/>
      <c r="CK29" s="143"/>
      <c r="CL29" s="85"/>
      <c r="CM29" s="85"/>
    </row>
    <row r="30" spans="1:91" x14ac:dyDescent="0.3">
      <c r="A30" s="85"/>
      <c r="B30" s="144" t="s">
        <v>32</v>
      </c>
      <c r="C30" s="209">
        <v>2</v>
      </c>
      <c r="D30" s="208" t="s">
        <v>236</v>
      </c>
      <c r="E30" s="213" t="s">
        <v>237</v>
      </c>
      <c r="F30" s="117"/>
      <c r="G30" s="117"/>
      <c r="H30" s="117"/>
      <c r="I30" s="117"/>
      <c r="J30" s="117"/>
      <c r="K30" s="117"/>
      <c r="L30" s="117"/>
      <c r="M30" s="117"/>
      <c r="N30" s="247" t="s">
        <v>15</v>
      </c>
      <c r="O30" s="247"/>
      <c r="P30" s="117"/>
      <c r="Q30" s="117"/>
      <c r="R30" s="172"/>
      <c r="S30" s="117"/>
      <c r="T30" s="117"/>
      <c r="U30" s="117"/>
      <c r="V30" s="117"/>
      <c r="W30" s="117"/>
      <c r="X30" s="117"/>
      <c r="Y30" s="117"/>
      <c r="Z30" s="117"/>
      <c r="AA30" s="117"/>
      <c r="AB30" s="117"/>
      <c r="AC30" s="145"/>
      <c r="AD30" s="172"/>
      <c r="AE30" s="117"/>
      <c r="AF30" s="117"/>
      <c r="AG30" s="117"/>
      <c r="AH30" s="117"/>
      <c r="AI30" s="117"/>
      <c r="AJ30" s="117"/>
      <c r="AK30" s="117"/>
      <c r="AL30" s="117"/>
      <c r="AM30" s="117"/>
      <c r="AN30" s="117"/>
      <c r="AO30" s="145"/>
      <c r="AP30" s="172"/>
      <c r="AQ30" s="117"/>
      <c r="AR30" s="117"/>
      <c r="AS30" s="117"/>
      <c r="AT30" s="117"/>
      <c r="AU30" s="117"/>
      <c r="AV30" s="117"/>
      <c r="AW30" s="117"/>
      <c r="AX30" s="117"/>
      <c r="AY30" s="117"/>
      <c r="AZ30" s="117"/>
      <c r="BA30" s="145"/>
      <c r="BB30" s="172"/>
      <c r="BC30" s="117"/>
      <c r="BD30" s="117"/>
      <c r="BE30" s="117"/>
      <c r="BF30" s="117"/>
      <c r="BG30" s="117"/>
      <c r="BH30" s="117"/>
      <c r="BI30" s="117"/>
      <c r="BJ30" s="247" t="s">
        <v>15</v>
      </c>
      <c r="BK30" s="247"/>
      <c r="BL30" s="247"/>
      <c r="BM30" s="145"/>
      <c r="BN30" s="172"/>
      <c r="BO30" s="117"/>
      <c r="BP30" s="117"/>
      <c r="BQ30" s="117"/>
      <c r="BR30" s="117"/>
      <c r="BS30" s="117"/>
      <c r="BT30" s="117"/>
      <c r="BU30" s="117"/>
      <c r="BV30" s="117"/>
      <c r="BW30" s="117"/>
      <c r="BX30" s="117"/>
      <c r="BY30" s="145"/>
      <c r="BZ30" s="172"/>
      <c r="CA30" s="117"/>
      <c r="CB30" s="117"/>
      <c r="CC30" s="117"/>
      <c r="CD30" s="117"/>
      <c r="CE30" s="117"/>
      <c r="CF30" s="117"/>
      <c r="CG30" s="117"/>
      <c r="CH30" s="117"/>
      <c r="CI30" s="117"/>
      <c r="CJ30" s="117"/>
      <c r="CK30" s="145"/>
      <c r="CL30" s="85"/>
      <c r="CM30" s="85"/>
    </row>
    <row r="31" spans="1:91" x14ac:dyDescent="0.3">
      <c r="A31" s="85"/>
      <c r="B31" s="144" t="s">
        <v>32</v>
      </c>
      <c r="C31" s="209">
        <v>3</v>
      </c>
      <c r="D31" s="208" t="s">
        <v>236</v>
      </c>
      <c r="E31" s="213" t="s">
        <v>237</v>
      </c>
      <c r="F31" s="117"/>
      <c r="G31" s="117"/>
      <c r="H31" s="117"/>
      <c r="I31" s="117"/>
      <c r="J31" s="117"/>
      <c r="K31" s="117"/>
      <c r="L31" s="117"/>
      <c r="M31" s="117"/>
      <c r="N31" s="117"/>
      <c r="O31" s="117"/>
      <c r="P31" s="117"/>
      <c r="Q31" s="117"/>
      <c r="R31" s="172"/>
      <c r="S31" s="117"/>
      <c r="T31" s="117"/>
      <c r="U31" s="117"/>
      <c r="V31" s="117"/>
      <c r="W31" s="117"/>
      <c r="X31" s="117"/>
      <c r="Y31" s="117"/>
      <c r="Z31" s="247" t="s">
        <v>33</v>
      </c>
      <c r="AA31" s="247"/>
      <c r="AB31" s="247"/>
      <c r="AC31" s="145"/>
      <c r="AD31" s="172"/>
      <c r="AE31" s="117"/>
      <c r="AF31" s="117"/>
      <c r="AG31" s="117"/>
      <c r="AH31" s="117"/>
      <c r="AI31" s="117"/>
      <c r="AJ31" s="117"/>
      <c r="AK31" s="136"/>
      <c r="AL31" s="136"/>
      <c r="AM31" s="117"/>
      <c r="AN31" s="117"/>
      <c r="AO31" s="145"/>
      <c r="AP31" s="172"/>
      <c r="AQ31" s="117"/>
      <c r="AR31" s="117"/>
      <c r="AS31" s="117"/>
      <c r="AT31" s="117"/>
      <c r="AU31" s="117"/>
      <c r="AV31" s="117"/>
      <c r="AW31" s="117"/>
      <c r="AX31" s="117"/>
      <c r="AY31" s="117"/>
      <c r="AZ31" s="117"/>
      <c r="BA31" s="145"/>
      <c r="BB31" s="172"/>
      <c r="BC31" s="117"/>
      <c r="BD31" s="117"/>
      <c r="BE31" s="117"/>
      <c r="BF31" s="117"/>
      <c r="BG31" s="117"/>
      <c r="BH31" s="117"/>
      <c r="BI31" s="117"/>
      <c r="BJ31" s="117"/>
      <c r="BK31" s="117"/>
      <c r="BL31" s="117"/>
      <c r="BM31" s="145"/>
      <c r="BN31" s="172"/>
      <c r="BO31" s="117"/>
      <c r="BP31" s="117"/>
      <c r="BQ31" s="117"/>
      <c r="BR31" s="117"/>
      <c r="BS31" s="117"/>
      <c r="BT31" s="117"/>
      <c r="BU31" s="117"/>
      <c r="BV31" s="247" t="s">
        <v>15</v>
      </c>
      <c r="BW31" s="247"/>
      <c r="BX31" s="247"/>
      <c r="BY31" s="145"/>
      <c r="BZ31" s="172"/>
      <c r="CA31" s="117"/>
      <c r="CB31" s="117"/>
      <c r="CC31" s="117"/>
      <c r="CD31" s="117"/>
      <c r="CE31" s="117"/>
      <c r="CF31" s="117"/>
      <c r="CG31" s="117"/>
      <c r="CH31" s="117"/>
      <c r="CI31" s="117"/>
      <c r="CJ31" s="117"/>
      <c r="CK31" s="145"/>
      <c r="CL31" s="85"/>
      <c r="CM31" s="85"/>
    </row>
    <row r="32" spans="1:91" ht="17.25" thickBot="1" x14ac:dyDescent="0.35">
      <c r="A32" s="85"/>
      <c r="B32" s="146" t="s">
        <v>32</v>
      </c>
      <c r="C32" s="217">
        <v>4</v>
      </c>
      <c r="D32" s="218" t="s">
        <v>236</v>
      </c>
      <c r="E32" s="219" t="s">
        <v>237</v>
      </c>
      <c r="F32" s="147"/>
      <c r="G32" s="147"/>
      <c r="H32" s="147"/>
      <c r="I32" s="147"/>
      <c r="J32" s="147"/>
      <c r="K32" s="147"/>
      <c r="L32" s="147"/>
      <c r="M32" s="147"/>
      <c r="N32" s="147"/>
      <c r="O32" s="147"/>
      <c r="P32" s="147"/>
      <c r="Q32" s="147"/>
      <c r="R32" s="173"/>
      <c r="S32" s="147"/>
      <c r="T32" s="147"/>
      <c r="U32" s="147"/>
      <c r="V32" s="147"/>
      <c r="W32" s="147"/>
      <c r="X32" s="147"/>
      <c r="Y32" s="147"/>
      <c r="Z32" s="147"/>
      <c r="AA32" s="282"/>
      <c r="AB32" s="282"/>
      <c r="AC32" s="149"/>
      <c r="AD32" s="173"/>
      <c r="AE32" s="147"/>
      <c r="AF32" s="147"/>
      <c r="AG32" s="147"/>
      <c r="AH32" s="147"/>
      <c r="AI32" s="147"/>
      <c r="AJ32" s="147"/>
      <c r="AK32" s="147"/>
      <c r="AL32" s="283" t="s">
        <v>15</v>
      </c>
      <c r="AM32" s="283"/>
      <c r="AN32" s="283"/>
      <c r="AO32" s="192"/>
      <c r="AP32" s="229"/>
      <c r="AQ32" s="191"/>
      <c r="AR32" s="191"/>
      <c r="AS32" s="191"/>
      <c r="AT32" s="191"/>
      <c r="AU32" s="191"/>
      <c r="AV32" s="191"/>
      <c r="AW32" s="191"/>
      <c r="AX32" s="147"/>
      <c r="AY32" s="147"/>
      <c r="AZ32" s="147"/>
      <c r="BA32" s="149"/>
      <c r="BB32" s="173"/>
      <c r="BC32" s="147"/>
      <c r="BD32" s="147"/>
      <c r="BE32" s="147"/>
      <c r="BF32" s="147"/>
      <c r="BG32" s="147"/>
      <c r="BH32" s="147"/>
      <c r="BI32" s="147"/>
      <c r="BJ32" s="147"/>
      <c r="BK32" s="147"/>
      <c r="BL32" s="147"/>
      <c r="BM32" s="149"/>
      <c r="BN32" s="173"/>
      <c r="BO32" s="147"/>
      <c r="BP32" s="147"/>
      <c r="BQ32" s="147"/>
      <c r="BR32" s="147"/>
      <c r="BS32" s="147"/>
      <c r="BT32" s="147"/>
      <c r="BU32" s="147"/>
      <c r="BV32" s="147"/>
      <c r="BW32" s="147"/>
      <c r="BX32" s="147"/>
      <c r="BY32" s="149"/>
      <c r="BZ32" s="173"/>
      <c r="CA32" s="147"/>
      <c r="CB32" s="147"/>
      <c r="CC32" s="147"/>
      <c r="CD32" s="147"/>
      <c r="CE32" s="147"/>
      <c r="CF32" s="147"/>
      <c r="CG32" s="147"/>
      <c r="CH32" s="281" t="s">
        <v>15</v>
      </c>
      <c r="CI32" s="281"/>
      <c r="CJ32" s="281"/>
      <c r="CK32" s="149"/>
      <c r="CL32" s="85"/>
      <c r="CM32" s="85"/>
    </row>
    <row r="33" spans="1:91" ht="17.25" thickBot="1" x14ac:dyDescent="0.35">
      <c r="A33" s="85"/>
      <c r="B33" s="161" t="s">
        <v>34</v>
      </c>
      <c r="C33" s="222">
        <v>1</v>
      </c>
      <c r="D33" s="223" t="s">
        <v>236</v>
      </c>
      <c r="E33" s="224" t="s">
        <v>237</v>
      </c>
      <c r="F33" s="159"/>
      <c r="G33" s="159"/>
      <c r="H33" s="159"/>
      <c r="I33" s="159"/>
      <c r="J33" s="159"/>
      <c r="K33" s="159"/>
      <c r="L33" s="159"/>
      <c r="M33" s="159"/>
      <c r="N33" s="159"/>
      <c r="O33" s="159"/>
      <c r="P33" s="159"/>
      <c r="Q33" s="159"/>
      <c r="R33" s="177"/>
      <c r="S33" s="159"/>
      <c r="T33" s="159"/>
      <c r="U33" s="159"/>
      <c r="V33" s="159"/>
      <c r="W33" s="159"/>
      <c r="X33" s="159"/>
      <c r="Y33" s="159"/>
      <c r="Z33" s="159"/>
      <c r="AA33" s="159"/>
      <c r="AB33" s="159"/>
      <c r="AC33" s="160"/>
      <c r="AD33" s="177"/>
      <c r="AE33" s="159"/>
      <c r="AF33" s="159"/>
      <c r="AG33" s="159"/>
      <c r="AH33" s="159"/>
      <c r="AI33" s="159"/>
      <c r="AJ33" s="159"/>
      <c r="AK33" s="159"/>
      <c r="AL33" s="284" t="s">
        <v>15</v>
      </c>
      <c r="AM33" s="284"/>
      <c r="AN33" s="159"/>
      <c r="AO33" s="160"/>
      <c r="AP33" s="177"/>
      <c r="AQ33" s="159"/>
      <c r="AR33" s="159"/>
      <c r="AS33" s="159"/>
      <c r="AT33" s="159"/>
      <c r="AU33" s="159"/>
      <c r="AV33" s="159"/>
      <c r="AW33" s="159"/>
      <c r="AX33" s="159"/>
      <c r="AY33" s="159"/>
      <c r="AZ33" s="159"/>
      <c r="BA33" s="160"/>
      <c r="BB33" s="177"/>
      <c r="BC33" s="159"/>
      <c r="BD33" s="159"/>
      <c r="BE33" s="159"/>
      <c r="BF33" s="159"/>
      <c r="BG33" s="159"/>
      <c r="BH33" s="159"/>
      <c r="BI33" s="159"/>
      <c r="BJ33" s="159"/>
      <c r="BK33" s="159"/>
      <c r="BL33" s="159"/>
      <c r="BM33" s="160"/>
      <c r="BN33" s="177"/>
      <c r="BO33" s="159"/>
      <c r="BP33" s="159"/>
      <c r="BQ33" s="159"/>
      <c r="BR33" s="159"/>
      <c r="BS33" s="159"/>
      <c r="BT33" s="159"/>
      <c r="BU33" s="159"/>
      <c r="BV33" s="159"/>
      <c r="BW33" s="159"/>
      <c r="BX33" s="159"/>
      <c r="BY33" s="160"/>
      <c r="BZ33" s="177"/>
      <c r="CA33" s="159"/>
      <c r="CB33" s="159"/>
      <c r="CC33" s="159"/>
      <c r="CD33" s="159"/>
      <c r="CE33" s="159"/>
      <c r="CF33" s="159"/>
      <c r="CG33" s="159"/>
      <c r="CH33" s="159"/>
      <c r="CI33" s="159"/>
      <c r="CJ33" s="159"/>
      <c r="CK33" s="160"/>
      <c r="CL33" s="85"/>
      <c r="CM33" s="85"/>
    </row>
    <row r="34" spans="1:91" x14ac:dyDescent="0.3">
      <c r="A34" s="85"/>
      <c r="B34" s="138" t="s">
        <v>35</v>
      </c>
      <c r="C34" s="214">
        <v>5</v>
      </c>
      <c r="D34" s="215" t="s">
        <v>236</v>
      </c>
      <c r="E34" s="216" t="s">
        <v>237</v>
      </c>
      <c r="F34" s="139"/>
      <c r="G34" s="139"/>
      <c r="H34" s="139"/>
      <c r="I34" s="139"/>
      <c r="J34" s="139"/>
      <c r="K34" s="139"/>
      <c r="L34" s="139"/>
      <c r="M34" s="139"/>
      <c r="N34" s="139"/>
      <c r="O34" s="139"/>
      <c r="P34" s="139"/>
      <c r="Q34" s="139"/>
      <c r="R34" s="171"/>
      <c r="S34" s="139"/>
      <c r="T34" s="139"/>
      <c r="U34" s="139"/>
      <c r="V34" s="139"/>
      <c r="W34" s="139"/>
      <c r="X34" s="139"/>
      <c r="Y34" s="139"/>
      <c r="Z34" s="139"/>
      <c r="AA34" s="156" t="s">
        <v>16</v>
      </c>
      <c r="AB34" s="139"/>
      <c r="AC34" s="143"/>
      <c r="AD34" s="171"/>
      <c r="AE34" s="139"/>
      <c r="AF34" s="139"/>
      <c r="AG34" s="139"/>
      <c r="AH34" s="139"/>
      <c r="AI34" s="139"/>
      <c r="AJ34" s="139"/>
      <c r="AK34" s="139"/>
      <c r="AL34" s="139"/>
      <c r="AM34" s="139"/>
      <c r="AN34" s="139"/>
      <c r="AO34" s="143"/>
      <c r="AP34" s="171"/>
      <c r="AQ34" s="139"/>
      <c r="AR34" s="139"/>
      <c r="AS34" s="139"/>
      <c r="AT34" s="139"/>
      <c r="AU34" s="139"/>
      <c r="AV34" s="139"/>
      <c r="AW34" s="139"/>
      <c r="AX34" s="139"/>
      <c r="AY34" s="139"/>
      <c r="AZ34" s="139"/>
      <c r="BA34" s="143"/>
      <c r="BB34" s="171"/>
      <c r="BC34" s="139"/>
      <c r="BD34" s="139"/>
      <c r="BE34" s="139"/>
      <c r="BF34" s="139"/>
      <c r="BG34" s="139"/>
      <c r="BH34" s="139"/>
      <c r="BI34" s="139"/>
      <c r="BJ34" s="139"/>
      <c r="BK34" s="139"/>
      <c r="BL34" s="139"/>
      <c r="BM34" s="143"/>
      <c r="BN34" s="171"/>
      <c r="BO34" s="139"/>
      <c r="BP34" s="139"/>
      <c r="BQ34" s="139"/>
      <c r="BR34" s="139"/>
      <c r="BS34" s="139"/>
      <c r="BT34" s="139"/>
      <c r="BU34" s="139"/>
      <c r="BV34" s="139"/>
      <c r="BW34" s="139"/>
      <c r="BX34" s="139"/>
      <c r="BY34" s="143"/>
      <c r="BZ34" s="171"/>
      <c r="CA34" s="139"/>
      <c r="CB34" s="139"/>
      <c r="CC34" s="139"/>
      <c r="CD34" s="139"/>
      <c r="CE34" s="139"/>
      <c r="CF34" s="139"/>
      <c r="CG34" s="139"/>
      <c r="CH34" s="139"/>
      <c r="CI34" s="139"/>
      <c r="CJ34" s="139"/>
      <c r="CK34" s="143"/>
      <c r="CL34" s="85"/>
      <c r="CM34" s="85"/>
    </row>
    <row r="35" spans="1:91" x14ac:dyDescent="0.3">
      <c r="A35" s="85"/>
      <c r="B35" s="144" t="s">
        <v>35</v>
      </c>
      <c r="C35" s="209">
        <v>6</v>
      </c>
      <c r="D35" s="208" t="s">
        <v>236</v>
      </c>
      <c r="E35" s="213" t="s">
        <v>237</v>
      </c>
      <c r="F35" s="117"/>
      <c r="G35" s="117"/>
      <c r="H35" s="117"/>
      <c r="I35" s="117"/>
      <c r="J35" s="117"/>
      <c r="K35" s="117"/>
      <c r="L35" s="117"/>
      <c r="M35" s="117"/>
      <c r="N35" s="117"/>
      <c r="O35" s="117"/>
      <c r="P35" s="117"/>
      <c r="Q35" s="117"/>
      <c r="R35" s="172"/>
      <c r="S35" s="117"/>
      <c r="T35" s="117"/>
      <c r="U35" s="117"/>
      <c r="V35" s="117"/>
      <c r="W35" s="117"/>
      <c r="X35" s="117"/>
      <c r="Y35" s="117"/>
      <c r="Z35" s="234" t="s">
        <v>15</v>
      </c>
      <c r="AA35" s="234"/>
      <c r="AB35" s="117"/>
      <c r="AC35" s="145"/>
      <c r="AD35" s="172"/>
      <c r="AE35" s="117"/>
      <c r="AF35" s="117"/>
      <c r="AG35" s="117"/>
      <c r="AH35" s="117"/>
      <c r="AI35" s="117"/>
      <c r="AJ35" s="117"/>
      <c r="AK35" s="117"/>
      <c r="AL35" s="117"/>
      <c r="AM35" s="117"/>
      <c r="AN35" s="117"/>
      <c r="AO35" s="145"/>
      <c r="AP35" s="172"/>
      <c r="AQ35" s="117"/>
      <c r="AR35" s="117"/>
      <c r="AS35" s="117"/>
      <c r="AT35" s="117"/>
      <c r="AU35" s="117"/>
      <c r="AV35" s="117"/>
      <c r="AW35" s="117"/>
      <c r="AX35" s="117"/>
      <c r="AY35" s="117"/>
      <c r="AZ35" s="117"/>
      <c r="BA35" s="145"/>
      <c r="BB35" s="172"/>
      <c r="BC35" s="117"/>
      <c r="BD35" s="117"/>
      <c r="BE35" s="117"/>
      <c r="BF35" s="117"/>
      <c r="BG35" s="117"/>
      <c r="BH35" s="117"/>
      <c r="BI35" s="117"/>
      <c r="BJ35" s="117"/>
      <c r="BK35" s="117"/>
      <c r="BL35" s="117"/>
      <c r="BM35" s="145"/>
      <c r="BN35" s="172"/>
      <c r="BO35" s="117"/>
      <c r="BP35" s="117"/>
      <c r="BQ35" s="117"/>
      <c r="BR35" s="117"/>
      <c r="BS35" s="117"/>
      <c r="BT35" s="117"/>
      <c r="BU35" s="117"/>
      <c r="BV35" s="117"/>
      <c r="BW35" s="117"/>
      <c r="BX35" s="117"/>
      <c r="BY35" s="145"/>
      <c r="BZ35" s="172"/>
      <c r="CA35" s="117"/>
      <c r="CB35" s="117"/>
      <c r="CC35" s="117"/>
      <c r="CD35" s="117"/>
      <c r="CE35" s="117"/>
      <c r="CF35" s="117"/>
      <c r="CG35" s="117"/>
      <c r="CH35" s="117"/>
      <c r="CI35" s="117"/>
      <c r="CJ35" s="117"/>
      <c r="CK35" s="145"/>
      <c r="CL35" s="85"/>
      <c r="CM35" s="85"/>
    </row>
    <row r="36" spans="1:91" x14ac:dyDescent="0.3">
      <c r="A36" s="85"/>
      <c r="B36" s="144" t="s">
        <v>35</v>
      </c>
      <c r="C36" s="209">
        <v>7</v>
      </c>
      <c r="D36" s="208" t="s">
        <v>236</v>
      </c>
      <c r="E36" s="213" t="s">
        <v>237</v>
      </c>
      <c r="F36" s="117"/>
      <c r="G36" s="117"/>
      <c r="H36" s="117"/>
      <c r="I36" s="117"/>
      <c r="J36" s="117"/>
      <c r="K36" s="117"/>
      <c r="L36" s="117"/>
      <c r="M36" s="117"/>
      <c r="N36" s="119"/>
      <c r="O36" s="119"/>
      <c r="P36" s="119"/>
      <c r="Q36" s="119"/>
      <c r="R36" s="172"/>
      <c r="S36" s="117"/>
      <c r="T36" s="117"/>
      <c r="U36" s="117"/>
      <c r="V36" s="117"/>
      <c r="W36" s="117"/>
      <c r="X36" s="117"/>
      <c r="Y36" s="117"/>
      <c r="Z36" s="117"/>
      <c r="AA36" s="117"/>
      <c r="AB36" s="117"/>
      <c r="AC36" s="145"/>
      <c r="AD36" s="172"/>
      <c r="AE36" s="234" t="s">
        <v>15</v>
      </c>
      <c r="AF36" s="234"/>
      <c r="AG36" s="234"/>
      <c r="AH36" s="234"/>
      <c r="AI36" s="234"/>
      <c r="AJ36" s="117"/>
      <c r="AK36" s="117"/>
      <c r="AL36" s="117"/>
      <c r="AM36" s="234" t="s">
        <v>15</v>
      </c>
      <c r="AN36" s="234"/>
      <c r="AO36" s="145"/>
      <c r="AP36" s="172"/>
      <c r="AQ36" s="117"/>
      <c r="AR36" s="117"/>
      <c r="AS36" s="117"/>
      <c r="AT36" s="117"/>
      <c r="AU36" s="117"/>
      <c r="AV36" s="117"/>
      <c r="AW36" s="117"/>
      <c r="AX36" s="117"/>
      <c r="AY36" s="117"/>
      <c r="AZ36" s="117"/>
      <c r="BA36" s="145"/>
      <c r="BB36" s="172"/>
      <c r="BC36" s="117"/>
      <c r="BD36" s="117"/>
      <c r="BE36" s="117"/>
      <c r="BF36" s="117"/>
      <c r="BG36" s="117"/>
      <c r="BH36" s="117"/>
      <c r="BI36" s="117"/>
      <c r="BJ36" s="117"/>
      <c r="BK36" s="117"/>
      <c r="BL36" s="117"/>
      <c r="BM36" s="145"/>
      <c r="BN36" s="172"/>
      <c r="BO36" s="117"/>
      <c r="BP36" s="117"/>
      <c r="BQ36" s="117"/>
      <c r="BR36" s="117"/>
      <c r="BS36" s="117"/>
      <c r="BT36" s="117"/>
      <c r="BU36" s="117"/>
      <c r="BV36" s="117"/>
      <c r="BW36" s="117"/>
      <c r="BX36" s="117"/>
      <c r="BY36" s="145"/>
      <c r="BZ36" s="172"/>
      <c r="CA36" s="117"/>
      <c r="CB36" s="117"/>
      <c r="CC36" s="117"/>
      <c r="CD36" s="117"/>
      <c r="CE36" s="117"/>
      <c r="CF36" s="117"/>
      <c r="CG36" s="117"/>
      <c r="CH36" s="117"/>
      <c r="CI36" s="117"/>
      <c r="CJ36" s="117"/>
      <c r="CK36" s="145"/>
      <c r="CL36" s="85"/>
      <c r="CM36" s="85"/>
    </row>
    <row r="37" spans="1:91" ht="17.25" thickBot="1" x14ac:dyDescent="0.35">
      <c r="A37" s="85"/>
      <c r="B37" s="146" t="s">
        <v>35</v>
      </c>
      <c r="C37" s="217">
        <v>8</v>
      </c>
      <c r="D37" s="218" t="s">
        <v>236</v>
      </c>
      <c r="E37" s="219" t="s">
        <v>237</v>
      </c>
      <c r="F37" s="147"/>
      <c r="G37" s="147"/>
      <c r="H37" s="147"/>
      <c r="I37" s="147"/>
      <c r="J37" s="147"/>
      <c r="K37" s="147"/>
      <c r="L37" s="147"/>
      <c r="M37" s="147"/>
      <c r="N37" s="281" t="s">
        <v>16</v>
      </c>
      <c r="O37" s="281"/>
      <c r="P37" s="147"/>
      <c r="Q37" s="147"/>
      <c r="R37" s="173"/>
      <c r="S37" s="147"/>
      <c r="T37" s="147"/>
      <c r="U37" s="147"/>
      <c r="V37" s="147"/>
      <c r="W37" s="147"/>
      <c r="X37" s="147"/>
      <c r="Y37" s="147"/>
      <c r="Z37" s="147"/>
      <c r="AA37" s="147"/>
      <c r="AB37" s="147"/>
      <c r="AC37" s="149"/>
      <c r="AD37" s="173"/>
      <c r="AE37" s="147"/>
      <c r="AF37" s="147"/>
      <c r="AG37" s="147"/>
      <c r="AH37" s="147"/>
      <c r="AI37" s="147"/>
      <c r="AJ37" s="147"/>
      <c r="AK37" s="147"/>
      <c r="AL37" s="147"/>
      <c r="AM37" s="157" t="s">
        <v>16</v>
      </c>
      <c r="AN37" s="147"/>
      <c r="AO37" s="149"/>
      <c r="AP37" s="173"/>
      <c r="AQ37" s="147"/>
      <c r="AR37" s="147"/>
      <c r="AS37" s="147"/>
      <c r="AT37" s="147"/>
      <c r="AU37" s="147"/>
      <c r="AV37" s="147"/>
      <c r="AW37" s="147"/>
      <c r="AX37" s="147"/>
      <c r="AY37" s="147"/>
      <c r="AZ37" s="147"/>
      <c r="BA37" s="149"/>
      <c r="BB37" s="173"/>
      <c r="BC37" s="147"/>
      <c r="BD37" s="147"/>
      <c r="BE37" s="147"/>
      <c r="BF37" s="147"/>
      <c r="BG37" s="147"/>
      <c r="BH37" s="147"/>
      <c r="BI37" s="147"/>
      <c r="BJ37" s="147"/>
      <c r="BK37" s="147"/>
      <c r="BL37" s="147"/>
      <c r="BM37" s="149"/>
      <c r="BN37" s="173"/>
      <c r="BO37" s="147"/>
      <c r="BP37" s="147"/>
      <c r="BQ37" s="147"/>
      <c r="BR37" s="147"/>
      <c r="BS37" s="147"/>
      <c r="BT37" s="147"/>
      <c r="BU37" s="147"/>
      <c r="BV37" s="147"/>
      <c r="BW37" s="147"/>
      <c r="BX37" s="147"/>
      <c r="BY37" s="149"/>
      <c r="BZ37" s="173"/>
      <c r="CA37" s="147"/>
      <c r="CB37" s="147"/>
      <c r="CC37" s="147"/>
      <c r="CD37" s="147"/>
      <c r="CE37" s="147"/>
      <c r="CF37" s="147"/>
      <c r="CG37" s="147"/>
      <c r="CH37" s="147"/>
      <c r="CI37" s="147"/>
      <c r="CJ37" s="147"/>
      <c r="CK37" s="149"/>
      <c r="CL37" s="85"/>
      <c r="CM37" s="85"/>
    </row>
    <row r="38" spans="1:91" x14ac:dyDescent="0.3">
      <c r="A38" s="85"/>
      <c r="B38" s="164" t="s">
        <v>36</v>
      </c>
      <c r="C38" s="214">
        <v>1</v>
      </c>
      <c r="D38" s="215" t="s">
        <v>256</v>
      </c>
      <c r="E38" s="216" t="s">
        <v>255</v>
      </c>
      <c r="F38" s="139"/>
      <c r="G38" s="139"/>
      <c r="H38" s="139"/>
      <c r="I38" s="139"/>
      <c r="J38" s="139"/>
      <c r="K38" s="139"/>
      <c r="L38" s="139"/>
      <c r="M38" s="139"/>
      <c r="N38" s="139"/>
      <c r="O38" s="139"/>
      <c r="P38" s="139"/>
      <c r="Q38" s="139"/>
      <c r="R38" s="171"/>
      <c r="S38" s="139"/>
      <c r="T38" s="139"/>
      <c r="U38" s="139"/>
      <c r="V38" s="139"/>
      <c r="W38" s="139"/>
      <c r="X38" s="139"/>
      <c r="Y38" s="139"/>
      <c r="Z38" s="139"/>
      <c r="AA38" s="139"/>
      <c r="AB38" s="139"/>
      <c r="AC38" s="143"/>
      <c r="AD38" s="171"/>
      <c r="AE38" s="139"/>
      <c r="AF38" s="139"/>
      <c r="AG38" s="139"/>
      <c r="AH38" s="139"/>
      <c r="AI38" s="139"/>
      <c r="AJ38" s="139"/>
      <c r="AK38" s="139"/>
      <c r="AL38" s="139"/>
      <c r="AM38" s="139"/>
      <c r="AN38" s="139"/>
      <c r="AO38" s="143"/>
      <c r="AP38" s="171"/>
      <c r="AQ38" s="139"/>
      <c r="AR38" s="139"/>
      <c r="AS38" s="139"/>
      <c r="AT38" s="139"/>
      <c r="AU38" s="139"/>
      <c r="AV38" s="139"/>
      <c r="AW38" s="139"/>
      <c r="AX38" s="139"/>
      <c r="AY38" s="139"/>
      <c r="AZ38" s="139"/>
      <c r="BA38" s="143"/>
      <c r="BB38" s="171"/>
      <c r="BC38" s="139"/>
      <c r="BD38" s="139"/>
      <c r="BE38" s="139"/>
      <c r="BF38" s="139"/>
      <c r="BG38" s="139"/>
      <c r="BH38" s="139"/>
      <c r="BI38" s="139"/>
      <c r="BJ38" s="139"/>
      <c r="BK38" s="139"/>
      <c r="BL38" s="139"/>
      <c r="BM38" s="143"/>
      <c r="BN38" s="171"/>
      <c r="BO38" s="139"/>
      <c r="BP38" s="139"/>
      <c r="BQ38" s="139"/>
      <c r="BR38" s="139"/>
      <c r="BS38" s="139"/>
      <c r="BT38" s="139"/>
      <c r="BU38" s="139"/>
      <c r="BV38" s="139"/>
      <c r="BW38" s="139"/>
      <c r="BX38" s="139"/>
      <c r="BY38" s="143"/>
      <c r="BZ38" s="171"/>
      <c r="CA38" s="139"/>
      <c r="CB38" s="139"/>
      <c r="CC38" s="139"/>
      <c r="CD38" s="139"/>
      <c r="CE38" s="139"/>
      <c r="CF38" s="139"/>
      <c r="CG38" s="139"/>
      <c r="CH38" s="139"/>
      <c r="CI38" s="139"/>
      <c r="CJ38" s="139"/>
      <c r="CK38" s="143"/>
      <c r="CL38" s="85"/>
      <c r="CM38" s="85"/>
    </row>
    <row r="39" spans="1:91" ht="17.25" thickBot="1" x14ac:dyDescent="0.35">
      <c r="A39" s="85"/>
      <c r="B39" s="165" t="s">
        <v>36</v>
      </c>
      <c r="C39" s="217">
        <v>2</v>
      </c>
      <c r="D39" s="218" t="s">
        <v>256</v>
      </c>
      <c r="E39" s="219" t="s">
        <v>255</v>
      </c>
      <c r="F39" s="147"/>
      <c r="G39" s="147"/>
      <c r="H39" s="147"/>
      <c r="I39" s="147"/>
      <c r="J39" s="147"/>
      <c r="K39" s="147"/>
      <c r="L39" s="147"/>
      <c r="M39" s="147"/>
      <c r="N39" s="147"/>
      <c r="O39" s="147"/>
      <c r="P39" s="147"/>
      <c r="Q39" s="147"/>
      <c r="R39" s="173"/>
      <c r="S39" s="147"/>
      <c r="T39" s="147"/>
      <c r="U39" s="147"/>
      <c r="V39" s="147"/>
      <c r="W39" s="147"/>
      <c r="X39" s="147"/>
      <c r="Y39" s="147"/>
      <c r="Z39" s="147"/>
      <c r="AA39" s="147"/>
      <c r="AB39" s="147"/>
      <c r="AC39" s="149"/>
      <c r="AD39" s="173"/>
      <c r="AE39" s="147"/>
      <c r="AF39" s="147"/>
      <c r="AG39" s="147"/>
      <c r="AH39" s="147"/>
      <c r="AI39" s="147"/>
      <c r="AJ39" s="147"/>
      <c r="AK39" s="147"/>
      <c r="AL39" s="147"/>
      <c r="AM39" s="147"/>
      <c r="AN39" s="147"/>
      <c r="AO39" s="149"/>
      <c r="AP39" s="173"/>
      <c r="AQ39" s="147"/>
      <c r="AR39" s="147"/>
      <c r="AS39" s="147"/>
      <c r="AT39" s="147"/>
      <c r="AU39" s="147"/>
      <c r="AV39" s="147"/>
      <c r="AW39" s="147"/>
      <c r="AX39" s="147"/>
      <c r="AY39" s="147"/>
      <c r="AZ39" s="147"/>
      <c r="BA39" s="149"/>
      <c r="BB39" s="173"/>
      <c r="BC39" s="147"/>
      <c r="BD39" s="147"/>
      <c r="BE39" s="147"/>
      <c r="BF39" s="147"/>
      <c r="BG39" s="147"/>
      <c r="BH39" s="147"/>
      <c r="BI39" s="147"/>
      <c r="BJ39" s="147"/>
      <c r="BK39" s="147"/>
      <c r="BL39" s="147"/>
      <c r="BM39" s="149"/>
      <c r="BN39" s="173"/>
      <c r="BO39" s="147"/>
      <c r="BP39" s="147"/>
      <c r="BQ39" s="147"/>
      <c r="BR39" s="147"/>
      <c r="BS39" s="147"/>
      <c r="BT39" s="147"/>
      <c r="BU39" s="147"/>
      <c r="BV39" s="147"/>
      <c r="BW39" s="147"/>
      <c r="BX39" s="147"/>
      <c r="BY39" s="149"/>
      <c r="BZ39" s="173"/>
      <c r="CA39" s="147"/>
      <c r="CB39" s="147"/>
      <c r="CC39" s="147"/>
      <c r="CD39" s="147"/>
      <c r="CE39" s="147"/>
      <c r="CF39" s="147"/>
      <c r="CG39" s="147"/>
      <c r="CH39" s="147"/>
      <c r="CI39" s="147"/>
      <c r="CJ39" s="147"/>
      <c r="CK39" s="149"/>
      <c r="CL39" s="85"/>
      <c r="CM39" s="85"/>
    </row>
    <row r="40" spans="1:91" x14ac:dyDescent="0.3">
      <c r="A40" s="85"/>
      <c r="B40" s="166" t="s">
        <v>229</v>
      </c>
      <c r="C40" s="214">
        <v>10</v>
      </c>
      <c r="D40" s="215" t="s">
        <v>258</v>
      </c>
      <c r="E40" s="216" t="s">
        <v>237</v>
      </c>
      <c r="F40" s="139"/>
      <c r="G40" s="139"/>
      <c r="H40" s="139"/>
      <c r="I40" s="139"/>
      <c r="J40" s="139"/>
      <c r="K40" s="139"/>
      <c r="L40" s="139"/>
      <c r="M40" s="139"/>
      <c r="N40" s="139"/>
      <c r="O40" s="139"/>
      <c r="P40" s="139"/>
      <c r="Q40" s="139"/>
      <c r="R40" s="171"/>
      <c r="S40" s="139"/>
      <c r="T40" s="139"/>
      <c r="U40" s="139"/>
      <c r="V40" s="139"/>
      <c r="W40" s="139"/>
      <c r="X40" s="139"/>
      <c r="Y40" s="139"/>
      <c r="Z40" s="139"/>
      <c r="AA40" s="139"/>
      <c r="AB40" s="139"/>
      <c r="AC40" s="143"/>
      <c r="AD40" s="171"/>
      <c r="AE40" s="139"/>
      <c r="AF40" s="139"/>
      <c r="AG40" s="139"/>
      <c r="AH40" s="139"/>
      <c r="AI40" s="139"/>
      <c r="AJ40" s="139"/>
      <c r="AK40" s="139"/>
      <c r="AL40" s="139"/>
      <c r="AM40" s="139"/>
      <c r="AN40" s="139"/>
      <c r="AO40" s="143"/>
      <c r="AP40" s="171"/>
      <c r="AQ40" s="139"/>
      <c r="AR40" s="139"/>
      <c r="AS40" s="139"/>
      <c r="AT40" s="139"/>
      <c r="AU40" s="139"/>
      <c r="AV40" s="139"/>
      <c r="AW40" s="139"/>
      <c r="AX40" s="139"/>
      <c r="AY40" s="139"/>
      <c r="AZ40" s="139"/>
      <c r="BA40" s="143"/>
      <c r="BB40" s="171"/>
      <c r="BC40" s="139"/>
      <c r="BD40" s="139"/>
      <c r="BE40" s="139"/>
      <c r="BF40" s="139"/>
      <c r="BG40" s="139"/>
      <c r="BH40" s="139"/>
      <c r="BI40" s="139"/>
      <c r="BJ40" s="139"/>
      <c r="BK40" s="139"/>
      <c r="BL40" s="139"/>
      <c r="BM40" s="143"/>
      <c r="BN40" s="171"/>
      <c r="BO40" s="139"/>
      <c r="BP40" s="139"/>
      <c r="BQ40" s="139"/>
      <c r="BR40" s="139"/>
      <c r="BS40" s="139"/>
      <c r="BT40" s="139"/>
      <c r="BU40" s="139"/>
      <c r="BV40" s="139"/>
      <c r="BW40" s="139"/>
      <c r="BX40" s="139"/>
      <c r="BY40" s="143"/>
      <c r="BZ40" s="171"/>
      <c r="CA40" s="139"/>
      <c r="CB40" s="139"/>
      <c r="CC40" s="139"/>
      <c r="CD40" s="139"/>
      <c r="CE40" s="139"/>
      <c r="CF40" s="139"/>
      <c r="CG40" s="139"/>
      <c r="CH40" s="139"/>
      <c r="CI40" s="139"/>
      <c r="CJ40" s="139"/>
      <c r="CK40" s="143"/>
      <c r="CL40" s="85"/>
      <c r="CM40" s="85"/>
    </row>
    <row r="41" spans="1:91" x14ac:dyDescent="0.3">
      <c r="A41" s="85"/>
      <c r="B41" s="167" t="s">
        <v>229</v>
      </c>
      <c r="C41" s="209">
        <v>20</v>
      </c>
      <c r="D41" s="208" t="s">
        <v>258</v>
      </c>
      <c r="E41" s="213" t="s">
        <v>237</v>
      </c>
      <c r="F41" s="117"/>
      <c r="G41" s="117"/>
      <c r="H41" s="117"/>
      <c r="I41" s="117"/>
      <c r="J41" s="117"/>
      <c r="K41" s="117"/>
      <c r="L41" s="117"/>
      <c r="M41" s="117"/>
      <c r="N41" s="117"/>
      <c r="O41" s="117"/>
      <c r="P41" s="117"/>
      <c r="Q41" s="117"/>
      <c r="R41" s="172"/>
      <c r="S41" s="117"/>
      <c r="T41" s="117"/>
      <c r="U41" s="117"/>
      <c r="V41" s="117"/>
      <c r="W41" s="117"/>
      <c r="X41" s="117"/>
      <c r="Y41" s="118"/>
      <c r="Z41" s="118"/>
      <c r="AA41" s="118"/>
      <c r="AB41" s="118"/>
      <c r="AC41" s="145"/>
      <c r="AD41" s="172"/>
      <c r="AE41" s="117"/>
      <c r="AF41" s="117"/>
      <c r="AG41" s="117"/>
      <c r="AH41" s="117"/>
      <c r="AI41" s="117"/>
      <c r="AJ41" s="117"/>
      <c r="AK41" s="117"/>
      <c r="AL41" s="117"/>
      <c r="AM41" s="117"/>
      <c r="AN41" s="117"/>
      <c r="AO41" s="145"/>
      <c r="AP41" s="172"/>
      <c r="AQ41" s="117"/>
      <c r="AR41" s="117"/>
      <c r="AS41" s="117"/>
      <c r="AT41" s="117"/>
      <c r="AU41" s="117"/>
      <c r="AV41" s="117"/>
      <c r="AW41" s="117"/>
      <c r="AX41" s="117"/>
      <c r="AY41" s="117"/>
      <c r="AZ41" s="117"/>
      <c r="BA41" s="145"/>
      <c r="BB41" s="172"/>
      <c r="BC41" s="117"/>
      <c r="BD41" s="117"/>
      <c r="BE41" s="117"/>
      <c r="BF41" s="117"/>
      <c r="BG41" s="117"/>
      <c r="BH41" s="117"/>
      <c r="BI41" s="117"/>
      <c r="BJ41" s="117"/>
      <c r="BK41" s="117"/>
      <c r="BL41" s="117"/>
      <c r="BM41" s="145"/>
      <c r="BN41" s="172"/>
      <c r="BO41" s="117"/>
      <c r="BP41" s="117"/>
      <c r="BQ41" s="117"/>
      <c r="BR41" s="117"/>
      <c r="BS41" s="117"/>
      <c r="BT41" s="117"/>
      <c r="BU41" s="117"/>
      <c r="BV41" s="117"/>
      <c r="BW41" s="117"/>
      <c r="BX41" s="117"/>
      <c r="BY41" s="145"/>
      <c r="BZ41" s="172"/>
      <c r="CA41" s="117"/>
      <c r="CB41" s="117"/>
      <c r="CC41" s="117"/>
      <c r="CD41" s="117"/>
      <c r="CE41" s="117"/>
      <c r="CF41" s="117"/>
      <c r="CG41" s="117"/>
      <c r="CH41" s="117"/>
      <c r="CI41" s="117"/>
      <c r="CJ41" s="117"/>
      <c r="CK41" s="145"/>
      <c r="CL41" s="85"/>
      <c r="CM41" s="85"/>
    </row>
    <row r="42" spans="1:91" ht="17.25" thickBot="1" x14ac:dyDescent="0.35">
      <c r="A42" s="85"/>
      <c r="B42" s="168" t="s">
        <v>229</v>
      </c>
      <c r="C42" s="217">
        <v>30</v>
      </c>
      <c r="D42" s="218" t="s">
        <v>258</v>
      </c>
      <c r="E42" s="219" t="s">
        <v>237</v>
      </c>
      <c r="F42" s="147"/>
      <c r="G42" s="147"/>
      <c r="H42" s="147"/>
      <c r="I42" s="147"/>
      <c r="J42" s="147"/>
      <c r="K42" s="147"/>
      <c r="L42" s="147"/>
      <c r="M42" s="147"/>
      <c r="N42" s="147"/>
      <c r="O42" s="147"/>
      <c r="P42" s="147"/>
      <c r="Q42" s="147"/>
      <c r="R42" s="173"/>
      <c r="S42" s="147"/>
      <c r="T42" s="147"/>
      <c r="U42" s="147"/>
      <c r="V42" s="147"/>
      <c r="W42" s="147"/>
      <c r="X42" s="147"/>
      <c r="Y42" s="147"/>
      <c r="Z42" s="147"/>
      <c r="AA42" s="147"/>
      <c r="AB42" s="147"/>
      <c r="AC42" s="149"/>
      <c r="AD42" s="173"/>
      <c r="AE42" s="147"/>
      <c r="AF42" s="147"/>
      <c r="AG42" s="147"/>
      <c r="AH42" s="147"/>
      <c r="AI42" s="147"/>
      <c r="AJ42" s="147"/>
      <c r="AK42" s="147"/>
      <c r="AL42" s="147"/>
      <c r="AM42" s="147"/>
      <c r="AN42" s="147"/>
      <c r="AO42" s="149"/>
      <c r="AP42" s="173"/>
      <c r="AQ42" s="147"/>
      <c r="AR42" s="147"/>
      <c r="AS42" s="147"/>
      <c r="AT42" s="147"/>
      <c r="AU42" s="147"/>
      <c r="AV42" s="147"/>
      <c r="AW42" s="147"/>
      <c r="AX42" s="147"/>
      <c r="AY42" s="147"/>
      <c r="AZ42" s="147"/>
      <c r="BA42" s="149"/>
      <c r="BB42" s="173"/>
      <c r="BC42" s="147"/>
      <c r="BD42" s="147"/>
      <c r="BE42" s="147"/>
      <c r="BF42" s="147"/>
      <c r="BG42" s="147"/>
      <c r="BH42" s="147"/>
      <c r="BI42" s="147"/>
      <c r="BJ42" s="147"/>
      <c r="BK42" s="147"/>
      <c r="BL42" s="147"/>
      <c r="BM42" s="149"/>
      <c r="BN42" s="173"/>
      <c r="BO42" s="147"/>
      <c r="BP42" s="147"/>
      <c r="BQ42" s="147"/>
      <c r="BR42" s="147"/>
      <c r="BS42" s="147"/>
      <c r="BT42" s="147"/>
      <c r="BU42" s="147"/>
      <c r="BV42" s="147"/>
      <c r="BW42" s="147"/>
      <c r="BX42" s="147"/>
      <c r="BY42" s="149"/>
      <c r="BZ42" s="173"/>
      <c r="CA42" s="147"/>
      <c r="CB42" s="147"/>
      <c r="CC42" s="147"/>
      <c r="CD42" s="147"/>
      <c r="CE42" s="147"/>
      <c r="CF42" s="147"/>
      <c r="CG42" s="147"/>
      <c r="CH42" s="147"/>
      <c r="CI42" s="147"/>
      <c r="CJ42" s="147"/>
      <c r="CK42" s="149"/>
      <c r="CL42" s="85"/>
      <c r="CM42" s="85"/>
    </row>
    <row r="43" spans="1:91" x14ac:dyDescent="0.3">
      <c r="A43" s="85"/>
      <c r="B43" s="166" t="s">
        <v>230</v>
      </c>
      <c r="C43" s="214">
        <v>10</v>
      </c>
      <c r="D43" s="215" t="s">
        <v>258</v>
      </c>
      <c r="E43" s="216" t="s">
        <v>237</v>
      </c>
      <c r="F43" s="139"/>
      <c r="G43" s="139"/>
      <c r="H43" s="139"/>
      <c r="I43" s="139"/>
      <c r="J43" s="139"/>
      <c r="K43" s="139"/>
      <c r="L43" s="139"/>
      <c r="M43" s="139"/>
      <c r="N43" s="139"/>
      <c r="O43" s="139"/>
      <c r="P43" s="139"/>
      <c r="Q43" s="139"/>
      <c r="R43" s="171"/>
      <c r="S43" s="139"/>
      <c r="T43" s="139"/>
      <c r="U43" s="139"/>
      <c r="V43" s="139"/>
      <c r="W43" s="139"/>
      <c r="X43" s="139"/>
      <c r="Y43" s="139"/>
      <c r="Z43" s="139"/>
      <c r="AA43" s="140"/>
      <c r="AB43" s="140"/>
      <c r="AC43" s="154"/>
      <c r="AD43" s="171"/>
      <c r="AE43" s="139"/>
      <c r="AF43" s="139"/>
      <c r="AG43" s="139"/>
      <c r="AH43" s="139"/>
      <c r="AI43" s="139"/>
      <c r="AJ43" s="139"/>
      <c r="AK43" s="139"/>
      <c r="AL43" s="139"/>
      <c r="AM43" s="139"/>
      <c r="AN43" s="139"/>
      <c r="AO43" s="143"/>
      <c r="AP43" s="171"/>
      <c r="AQ43" s="139"/>
      <c r="AR43" s="139"/>
      <c r="AS43" s="139"/>
      <c r="AT43" s="139"/>
      <c r="AU43" s="139"/>
      <c r="AV43" s="139"/>
      <c r="AW43" s="139"/>
      <c r="AX43" s="139"/>
      <c r="AY43" s="139"/>
      <c r="AZ43" s="139"/>
      <c r="BA43" s="143"/>
      <c r="BB43" s="171"/>
      <c r="BC43" s="139"/>
      <c r="BD43" s="139"/>
      <c r="BE43" s="139"/>
      <c r="BF43" s="139"/>
      <c r="BG43" s="139"/>
      <c r="BH43" s="139"/>
      <c r="BI43" s="139"/>
      <c r="BJ43" s="139"/>
      <c r="BK43" s="139"/>
      <c r="BL43" s="139"/>
      <c r="BM43" s="143"/>
      <c r="BN43" s="171"/>
      <c r="BO43" s="139"/>
      <c r="BP43" s="139"/>
      <c r="BQ43" s="139"/>
      <c r="BR43" s="139"/>
      <c r="BS43" s="139"/>
      <c r="BT43" s="139"/>
      <c r="BU43" s="139"/>
      <c r="BV43" s="139"/>
      <c r="BW43" s="139"/>
      <c r="BX43" s="139"/>
      <c r="BY43" s="143"/>
      <c r="BZ43" s="171"/>
      <c r="CA43" s="139"/>
      <c r="CB43" s="139"/>
      <c r="CC43" s="139"/>
      <c r="CD43" s="139"/>
      <c r="CE43" s="139"/>
      <c r="CF43" s="139"/>
      <c r="CG43" s="139"/>
      <c r="CH43" s="139"/>
      <c r="CI43" s="139"/>
      <c r="CJ43" s="139"/>
      <c r="CK43" s="143"/>
      <c r="CL43" s="85"/>
      <c r="CM43" s="85"/>
    </row>
    <row r="44" spans="1:91" ht="17.25" thickBot="1" x14ac:dyDescent="0.35">
      <c r="A44" s="85"/>
      <c r="B44" s="168" t="s">
        <v>230</v>
      </c>
      <c r="C44" s="217">
        <v>20</v>
      </c>
      <c r="D44" s="218" t="s">
        <v>258</v>
      </c>
      <c r="E44" s="219" t="s">
        <v>237</v>
      </c>
      <c r="F44" s="147"/>
      <c r="G44" s="147"/>
      <c r="H44" s="147"/>
      <c r="I44" s="147"/>
      <c r="J44" s="147"/>
      <c r="K44" s="147"/>
      <c r="L44" s="147"/>
      <c r="M44" s="147"/>
      <c r="N44" s="147"/>
      <c r="O44" s="147"/>
      <c r="P44" s="147"/>
      <c r="Q44" s="147"/>
      <c r="R44" s="173"/>
      <c r="S44" s="147"/>
      <c r="T44" s="147"/>
      <c r="U44" s="147"/>
      <c r="V44" s="147"/>
      <c r="W44" s="147"/>
      <c r="X44" s="147"/>
      <c r="Y44" s="147"/>
      <c r="Z44" s="147"/>
      <c r="AA44" s="147"/>
      <c r="AB44" s="147"/>
      <c r="AC44" s="149"/>
      <c r="AD44" s="173"/>
      <c r="AE44" s="147"/>
      <c r="AF44" s="147"/>
      <c r="AG44" s="147"/>
      <c r="AH44" s="147"/>
      <c r="AI44" s="147"/>
      <c r="AJ44" s="147"/>
      <c r="AK44" s="147"/>
      <c r="AL44" s="147"/>
      <c r="AM44" s="147"/>
      <c r="AN44" s="147"/>
      <c r="AO44" s="149"/>
      <c r="AP44" s="173"/>
      <c r="AQ44" s="147"/>
      <c r="AR44" s="147"/>
      <c r="AS44" s="147"/>
      <c r="AT44" s="147"/>
      <c r="AU44" s="147"/>
      <c r="AV44" s="147"/>
      <c r="AW44" s="147"/>
      <c r="AX44" s="147"/>
      <c r="AY44" s="147"/>
      <c r="AZ44" s="147"/>
      <c r="BA44" s="149"/>
      <c r="BB44" s="173"/>
      <c r="BC44" s="147"/>
      <c r="BD44" s="147"/>
      <c r="BE44" s="147"/>
      <c r="BF44" s="147"/>
      <c r="BG44" s="147"/>
      <c r="BH44" s="147"/>
      <c r="BI44" s="147"/>
      <c r="BJ44" s="147"/>
      <c r="BK44" s="147"/>
      <c r="BL44" s="147"/>
      <c r="BM44" s="149"/>
      <c r="BN44" s="173"/>
      <c r="BO44" s="147"/>
      <c r="BP44" s="147"/>
      <c r="BQ44" s="147"/>
      <c r="BR44" s="147"/>
      <c r="BS44" s="147"/>
      <c r="BT44" s="147"/>
      <c r="BU44" s="147"/>
      <c r="BV44" s="147"/>
      <c r="BW44" s="147"/>
      <c r="BX44" s="147"/>
      <c r="BY44" s="149"/>
      <c r="BZ44" s="173"/>
      <c r="CA44" s="147"/>
      <c r="CB44" s="147"/>
      <c r="CC44" s="147"/>
      <c r="CD44" s="147"/>
      <c r="CE44" s="147"/>
      <c r="CF44" s="147"/>
      <c r="CG44" s="147"/>
      <c r="CH44" s="147"/>
      <c r="CI44" s="147"/>
      <c r="CJ44" s="147"/>
      <c r="CK44" s="149"/>
      <c r="CL44" s="85"/>
      <c r="CM44" s="85"/>
    </row>
    <row r="45" spans="1:91" ht="17.25" thickBot="1" x14ac:dyDescent="0.35">
      <c r="A45" s="85"/>
      <c r="B45" s="169" t="s">
        <v>231</v>
      </c>
      <c r="C45" s="222">
        <v>2</v>
      </c>
      <c r="D45" s="223" t="s">
        <v>258</v>
      </c>
      <c r="E45" s="224" t="s">
        <v>237</v>
      </c>
      <c r="F45" s="159"/>
      <c r="G45" s="159"/>
      <c r="H45" s="159"/>
      <c r="I45" s="159"/>
      <c r="J45" s="159"/>
      <c r="K45" s="159"/>
      <c r="L45" s="159"/>
      <c r="M45" s="159"/>
      <c r="N45" s="159"/>
      <c r="O45" s="159"/>
      <c r="P45" s="159"/>
      <c r="Q45" s="159"/>
      <c r="R45" s="177"/>
      <c r="S45" s="159"/>
      <c r="T45" s="159"/>
      <c r="U45" s="159"/>
      <c r="V45" s="159"/>
      <c r="W45" s="159"/>
      <c r="X45" s="159"/>
      <c r="Y45" s="159"/>
      <c r="Z45" s="226"/>
      <c r="AA45" s="226"/>
      <c r="AB45" s="226"/>
      <c r="AC45" s="227"/>
      <c r="AD45" s="177"/>
      <c r="AE45" s="159"/>
      <c r="AF45" s="159"/>
      <c r="AG45" s="159"/>
      <c r="AH45" s="159"/>
      <c r="AI45" s="159"/>
      <c r="AJ45" s="159"/>
      <c r="AK45" s="159"/>
      <c r="AL45" s="159"/>
      <c r="AM45" s="159"/>
      <c r="AN45" s="159"/>
      <c r="AO45" s="160"/>
      <c r="AP45" s="177"/>
      <c r="AQ45" s="159"/>
      <c r="AR45" s="159"/>
      <c r="AS45" s="159"/>
      <c r="AT45" s="159"/>
      <c r="AU45" s="159"/>
      <c r="AV45" s="159"/>
      <c r="AW45" s="159"/>
      <c r="AX45" s="159"/>
      <c r="AY45" s="159"/>
      <c r="AZ45" s="159"/>
      <c r="BA45" s="160"/>
      <c r="BB45" s="177"/>
      <c r="BC45" s="159"/>
      <c r="BD45" s="159"/>
      <c r="BE45" s="159"/>
      <c r="BF45" s="159"/>
      <c r="BG45" s="159"/>
      <c r="BH45" s="159"/>
      <c r="BI45" s="159"/>
      <c r="BJ45" s="159"/>
      <c r="BK45" s="159"/>
      <c r="BL45" s="159"/>
      <c r="BM45" s="160"/>
      <c r="BN45" s="177"/>
      <c r="BO45" s="159"/>
      <c r="BP45" s="159"/>
      <c r="BQ45" s="159"/>
      <c r="BR45" s="159"/>
      <c r="BS45" s="159"/>
      <c r="BT45" s="159"/>
      <c r="BU45" s="159"/>
      <c r="BV45" s="159"/>
      <c r="BW45" s="159"/>
      <c r="BX45" s="159"/>
      <c r="BY45" s="160"/>
      <c r="BZ45" s="177"/>
      <c r="CA45" s="159"/>
      <c r="CB45" s="159"/>
      <c r="CC45" s="159"/>
      <c r="CD45" s="159"/>
      <c r="CE45" s="159"/>
      <c r="CF45" s="159"/>
      <c r="CG45" s="159"/>
      <c r="CH45" s="159"/>
      <c r="CI45" s="159"/>
      <c r="CJ45" s="159"/>
      <c r="CK45" s="160"/>
      <c r="CL45" s="85"/>
      <c r="CM45" s="85"/>
    </row>
    <row r="46" spans="1:91" x14ac:dyDescent="0.3">
      <c r="B46" s="166" t="s">
        <v>232</v>
      </c>
      <c r="C46" s="214">
        <v>5</v>
      </c>
      <c r="D46" s="215" t="s">
        <v>258</v>
      </c>
      <c r="E46" s="216" t="s">
        <v>237</v>
      </c>
      <c r="F46" s="139"/>
      <c r="G46" s="139"/>
      <c r="H46" s="139"/>
      <c r="I46" s="139"/>
      <c r="J46" s="139"/>
      <c r="K46" s="139"/>
      <c r="L46" s="139"/>
      <c r="M46" s="139"/>
      <c r="N46" s="139"/>
      <c r="O46" s="139"/>
      <c r="P46" s="139"/>
      <c r="Q46" s="139"/>
      <c r="R46" s="171"/>
      <c r="S46" s="139"/>
      <c r="T46" s="139"/>
      <c r="U46" s="139"/>
      <c r="V46" s="139"/>
      <c r="W46" s="139"/>
      <c r="X46" s="139"/>
      <c r="Y46" s="139"/>
      <c r="Z46" s="139"/>
      <c r="AA46" s="139"/>
      <c r="AB46" s="140"/>
      <c r="AC46" s="154"/>
      <c r="AD46" s="171"/>
      <c r="AE46" s="139"/>
      <c r="AF46" s="139"/>
      <c r="AG46" s="139"/>
      <c r="AH46" s="139"/>
      <c r="AI46" s="139"/>
      <c r="AJ46" s="139"/>
      <c r="AK46" s="139"/>
      <c r="AL46" s="139"/>
      <c r="AM46" s="139"/>
      <c r="AN46" s="139"/>
      <c r="AO46" s="143"/>
      <c r="AP46" s="171"/>
      <c r="AQ46" s="139"/>
      <c r="AR46" s="139"/>
      <c r="AS46" s="139"/>
      <c r="AT46" s="139"/>
      <c r="AU46" s="139"/>
      <c r="AV46" s="139"/>
      <c r="AW46" s="139"/>
      <c r="AX46" s="139"/>
      <c r="AY46" s="139"/>
      <c r="AZ46" s="139"/>
      <c r="BA46" s="143"/>
      <c r="BB46" s="171"/>
      <c r="BC46" s="139"/>
      <c r="BD46" s="139"/>
      <c r="BE46" s="139"/>
      <c r="BF46" s="139"/>
      <c r="BG46" s="139"/>
      <c r="BH46" s="139"/>
      <c r="BI46" s="139"/>
      <c r="BJ46" s="139"/>
      <c r="BK46" s="139"/>
      <c r="BL46" s="139"/>
      <c r="BM46" s="143"/>
      <c r="BN46" s="171"/>
      <c r="BO46" s="139"/>
      <c r="BP46" s="139"/>
      <c r="BQ46" s="139"/>
      <c r="BR46" s="139"/>
      <c r="BS46" s="139"/>
      <c r="BT46" s="139"/>
      <c r="BU46" s="139"/>
      <c r="BV46" s="139"/>
      <c r="BW46" s="139"/>
      <c r="BX46" s="139"/>
      <c r="BY46" s="143"/>
      <c r="BZ46" s="171"/>
      <c r="CA46" s="139"/>
      <c r="CB46" s="139"/>
      <c r="CC46" s="139"/>
      <c r="CD46" s="139"/>
      <c r="CE46" s="139"/>
      <c r="CF46" s="139"/>
      <c r="CG46" s="139"/>
      <c r="CH46" s="139"/>
      <c r="CI46" s="139"/>
      <c r="CJ46" s="139"/>
      <c r="CK46" s="143"/>
      <c r="CL46" s="114"/>
    </row>
    <row r="47" spans="1:91" ht="17.25" thickBot="1" x14ac:dyDescent="0.35">
      <c r="B47" s="168" t="s">
        <v>232</v>
      </c>
      <c r="C47" s="217">
        <v>6</v>
      </c>
      <c r="D47" s="218" t="s">
        <v>258</v>
      </c>
      <c r="E47" s="219" t="s">
        <v>237</v>
      </c>
      <c r="F47" s="147"/>
      <c r="G47" s="147"/>
      <c r="H47" s="147"/>
      <c r="I47" s="147"/>
      <c r="J47" s="147"/>
      <c r="K47" s="147"/>
      <c r="L47" s="147"/>
      <c r="M47" s="147"/>
      <c r="N47" s="147"/>
      <c r="O47" s="147"/>
      <c r="P47" s="147"/>
      <c r="Q47" s="147"/>
      <c r="R47" s="173"/>
      <c r="S47" s="147"/>
      <c r="T47" s="147"/>
      <c r="U47" s="147"/>
      <c r="V47" s="147"/>
      <c r="W47" s="147"/>
      <c r="X47" s="147"/>
      <c r="Y47" s="147"/>
      <c r="Z47" s="147"/>
      <c r="AA47" s="148"/>
      <c r="AB47" s="148"/>
      <c r="AC47" s="228"/>
      <c r="AD47" s="173"/>
      <c r="AE47" s="147"/>
      <c r="AF47" s="147"/>
      <c r="AG47" s="147"/>
      <c r="AH47" s="147"/>
      <c r="AI47" s="147"/>
      <c r="AJ47" s="147"/>
      <c r="AK47" s="147"/>
      <c r="AL47" s="147"/>
      <c r="AM47" s="147"/>
      <c r="AN47" s="147"/>
      <c r="AO47" s="149"/>
      <c r="AP47" s="173"/>
      <c r="AQ47" s="147"/>
      <c r="AR47" s="147"/>
      <c r="AS47" s="147"/>
      <c r="AT47" s="147"/>
      <c r="AU47" s="147"/>
      <c r="AV47" s="147"/>
      <c r="AW47" s="147"/>
      <c r="AX47" s="147"/>
      <c r="AY47" s="147"/>
      <c r="AZ47" s="147"/>
      <c r="BA47" s="149"/>
      <c r="BB47" s="173"/>
      <c r="BC47" s="147"/>
      <c r="BD47" s="147"/>
      <c r="BE47" s="147"/>
      <c r="BF47" s="147"/>
      <c r="BG47" s="147"/>
      <c r="BH47" s="147"/>
      <c r="BI47" s="147"/>
      <c r="BJ47" s="147"/>
      <c r="BK47" s="147"/>
      <c r="BL47" s="147"/>
      <c r="BM47" s="149"/>
      <c r="BN47" s="173"/>
      <c r="BO47" s="147"/>
      <c r="BP47" s="147"/>
      <c r="BQ47" s="147"/>
      <c r="BR47" s="147"/>
      <c r="BS47" s="147"/>
      <c r="BT47" s="147"/>
      <c r="BU47" s="147"/>
      <c r="BV47" s="147"/>
      <c r="BW47" s="147"/>
      <c r="BX47" s="147"/>
      <c r="BY47" s="149"/>
      <c r="BZ47" s="173"/>
      <c r="CA47" s="147"/>
      <c r="CB47" s="147"/>
      <c r="CC47" s="147"/>
      <c r="CD47" s="147"/>
      <c r="CE47" s="147"/>
      <c r="CF47" s="147"/>
      <c r="CG47" s="147"/>
      <c r="CH47" s="147"/>
      <c r="CI47" s="147"/>
      <c r="CJ47" s="147"/>
      <c r="CK47" s="149"/>
      <c r="CL47" s="114"/>
    </row>
    <row r="48" spans="1:91" x14ac:dyDescent="0.3">
      <c r="B48" s="166" t="s">
        <v>233</v>
      </c>
      <c r="C48" s="214">
        <v>1</v>
      </c>
      <c r="D48" s="215" t="s">
        <v>258</v>
      </c>
      <c r="E48" s="216" t="s">
        <v>238</v>
      </c>
      <c r="F48" s="139"/>
      <c r="G48" s="139"/>
      <c r="H48" s="139"/>
      <c r="I48" s="139"/>
      <c r="J48" s="139"/>
      <c r="K48" s="139"/>
      <c r="L48" s="139"/>
      <c r="M48" s="139"/>
      <c r="N48" s="139"/>
      <c r="O48" s="139"/>
      <c r="P48" s="139"/>
      <c r="Q48" s="139"/>
      <c r="R48" s="171"/>
      <c r="S48" s="139"/>
      <c r="T48" s="139"/>
      <c r="U48" s="139"/>
      <c r="V48" s="139"/>
      <c r="W48" s="139"/>
      <c r="X48" s="139"/>
      <c r="Y48" s="139"/>
      <c r="Z48" s="139"/>
      <c r="AA48" s="139"/>
      <c r="AB48" s="139"/>
      <c r="AC48" s="143"/>
      <c r="AD48" s="171"/>
      <c r="AE48" s="139"/>
      <c r="AF48" s="139"/>
      <c r="AG48" s="139"/>
      <c r="AH48" s="139"/>
      <c r="AI48" s="139"/>
      <c r="AJ48" s="139"/>
      <c r="AK48" s="139"/>
      <c r="AL48" s="139"/>
      <c r="AM48" s="139"/>
      <c r="AN48" s="139"/>
      <c r="AO48" s="143"/>
      <c r="AP48" s="171"/>
      <c r="AQ48" s="139"/>
      <c r="AR48" s="139"/>
      <c r="AS48" s="139"/>
      <c r="AT48" s="139"/>
      <c r="AU48" s="139"/>
      <c r="AV48" s="139"/>
      <c r="AW48" s="139"/>
      <c r="AX48" s="139"/>
      <c r="AY48" s="139"/>
      <c r="AZ48" s="139"/>
      <c r="BA48" s="143"/>
      <c r="BB48" s="171"/>
      <c r="BC48" s="139"/>
      <c r="BD48" s="139"/>
      <c r="BE48" s="139"/>
      <c r="BF48" s="139"/>
      <c r="BG48" s="139"/>
      <c r="BH48" s="139"/>
      <c r="BI48" s="139"/>
      <c r="BJ48" s="139"/>
      <c r="BK48" s="139"/>
      <c r="BL48" s="139"/>
      <c r="BM48" s="143"/>
      <c r="BN48" s="171"/>
      <c r="BO48" s="139"/>
      <c r="BP48" s="139"/>
      <c r="BQ48" s="139"/>
      <c r="BR48" s="139"/>
      <c r="BS48" s="139"/>
      <c r="BT48" s="139"/>
      <c r="BU48" s="139"/>
      <c r="BV48" s="139"/>
      <c r="BW48" s="139"/>
      <c r="BX48" s="139"/>
      <c r="BY48" s="143"/>
      <c r="BZ48" s="171"/>
      <c r="CA48" s="139"/>
      <c r="CB48" s="139"/>
      <c r="CC48" s="139"/>
      <c r="CD48" s="139"/>
      <c r="CE48" s="139"/>
      <c r="CF48" s="139"/>
      <c r="CG48" s="139"/>
      <c r="CH48" s="139"/>
      <c r="CI48" s="139"/>
      <c r="CJ48" s="139"/>
      <c r="CK48" s="143"/>
      <c r="CL48" s="114"/>
    </row>
    <row r="49" spans="1:90" ht="17.25" thickBot="1" x14ac:dyDescent="0.35">
      <c r="B49" s="168" t="s">
        <v>233</v>
      </c>
      <c r="C49" s="217">
        <v>2</v>
      </c>
      <c r="D49" s="218" t="s">
        <v>258</v>
      </c>
      <c r="E49" s="219" t="s">
        <v>238</v>
      </c>
      <c r="F49" s="147"/>
      <c r="G49" s="147"/>
      <c r="H49" s="147"/>
      <c r="I49" s="147"/>
      <c r="J49" s="147"/>
      <c r="K49" s="147"/>
      <c r="L49" s="147"/>
      <c r="M49" s="147"/>
      <c r="N49" s="147"/>
      <c r="O49" s="147"/>
      <c r="P49" s="147"/>
      <c r="Q49" s="147"/>
      <c r="R49" s="173"/>
      <c r="S49" s="147"/>
      <c r="T49" s="147"/>
      <c r="U49" s="147"/>
      <c r="V49" s="147"/>
      <c r="W49" s="147"/>
      <c r="X49" s="147"/>
      <c r="Y49" s="147"/>
      <c r="Z49" s="147"/>
      <c r="AA49" s="147"/>
      <c r="AB49" s="147"/>
      <c r="AC49" s="149"/>
      <c r="AD49" s="173"/>
      <c r="AE49" s="147"/>
      <c r="AF49" s="147"/>
      <c r="AG49" s="147"/>
      <c r="AH49" s="147"/>
      <c r="AI49" s="147"/>
      <c r="AJ49" s="147"/>
      <c r="AK49" s="147"/>
      <c r="AL49" s="147"/>
      <c r="AM49" s="147"/>
      <c r="AN49" s="147"/>
      <c r="AO49" s="149"/>
      <c r="AP49" s="173"/>
      <c r="AQ49" s="147"/>
      <c r="AR49" s="147"/>
      <c r="AS49" s="147"/>
      <c r="AT49" s="147"/>
      <c r="AU49" s="147"/>
      <c r="AV49" s="147"/>
      <c r="AW49" s="147"/>
      <c r="AX49" s="147"/>
      <c r="AY49" s="147"/>
      <c r="AZ49" s="147"/>
      <c r="BA49" s="149"/>
      <c r="BB49" s="173"/>
      <c r="BC49" s="147"/>
      <c r="BD49" s="147"/>
      <c r="BE49" s="147"/>
      <c r="BF49" s="147"/>
      <c r="BG49" s="147"/>
      <c r="BH49" s="147"/>
      <c r="BI49" s="147"/>
      <c r="BJ49" s="147"/>
      <c r="BK49" s="147"/>
      <c r="BL49" s="147"/>
      <c r="BM49" s="149"/>
      <c r="BN49" s="173"/>
      <c r="BO49" s="147"/>
      <c r="BP49" s="147"/>
      <c r="BQ49" s="147"/>
      <c r="BR49" s="147"/>
      <c r="BS49" s="147"/>
      <c r="BT49" s="147"/>
      <c r="BU49" s="147"/>
      <c r="BV49" s="147"/>
      <c r="BW49" s="147"/>
      <c r="BX49" s="147"/>
      <c r="BY49" s="149"/>
      <c r="BZ49" s="173"/>
      <c r="CA49" s="147"/>
      <c r="CB49" s="147"/>
      <c r="CC49" s="147"/>
      <c r="CD49" s="147"/>
      <c r="CE49" s="147"/>
      <c r="CF49" s="147"/>
      <c r="CG49" s="147"/>
      <c r="CH49" s="147"/>
      <c r="CI49" s="147"/>
      <c r="CJ49" s="147"/>
      <c r="CK49" s="149"/>
      <c r="CL49" s="114"/>
    </row>
    <row r="50" spans="1:90" x14ac:dyDescent="0.3">
      <c r="B50" s="166" t="s">
        <v>239</v>
      </c>
      <c r="C50" s="214">
        <v>1</v>
      </c>
      <c r="D50" s="215" t="s">
        <v>236</v>
      </c>
      <c r="E50" s="216" t="s">
        <v>237</v>
      </c>
      <c r="F50" s="139"/>
      <c r="G50" s="139"/>
      <c r="H50" s="139"/>
      <c r="I50" s="139"/>
      <c r="J50" s="139"/>
      <c r="K50" s="139"/>
      <c r="L50" s="139"/>
      <c r="M50" s="139"/>
      <c r="N50" s="139"/>
      <c r="O50" s="139"/>
      <c r="P50" s="139"/>
      <c r="Q50" s="139"/>
      <c r="R50" s="171"/>
      <c r="S50" s="139"/>
      <c r="T50" s="139"/>
      <c r="U50" s="139"/>
      <c r="V50" s="139"/>
      <c r="W50" s="139"/>
      <c r="X50" s="139"/>
      <c r="Y50" s="139"/>
      <c r="Z50" s="139"/>
      <c r="AA50" s="139"/>
      <c r="AB50" s="139"/>
      <c r="AC50" s="143"/>
      <c r="AD50" s="171"/>
      <c r="AE50" s="139"/>
      <c r="AF50" s="139"/>
      <c r="AG50" s="139"/>
      <c r="AH50" s="139"/>
      <c r="AI50" s="139"/>
      <c r="AJ50" s="139"/>
      <c r="AK50" s="139"/>
      <c r="AL50" s="139"/>
      <c r="AM50" s="139"/>
      <c r="AN50" s="139"/>
      <c r="AO50" s="143"/>
      <c r="AP50" s="171"/>
      <c r="AQ50" s="139"/>
      <c r="AR50" s="139"/>
      <c r="AS50" s="139"/>
      <c r="AT50" s="139"/>
      <c r="AU50" s="139"/>
      <c r="AV50" s="139"/>
      <c r="AW50" s="139"/>
      <c r="AX50" s="139"/>
      <c r="AY50" s="139"/>
      <c r="AZ50" s="139"/>
      <c r="BA50" s="143"/>
      <c r="BB50" s="171"/>
      <c r="BC50" s="139"/>
      <c r="BD50" s="139"/>
      <c r="BE50" s="139"/>
      <c r="BF50" s="139"/>
      <c r="BG50" s="139"/>
      <c r="BH50" s="139"/>
      <c r="BI50" s="139"/>
      <c r="BJ50" s="139"/>
      <c r="BK50" s="139"/>
      <c r="BL50" s="139"/>
      <c r="BM50" s="143"/>
      <c r="BN50" s="171"/>
      <c r="BO50" s="139"/>
      <c r="BP50" s="139"/>
      <c r="BQ50" s="139"/>
      <c r="BR50" s="139"/>
      <c r="BS50" s="139"/>
      <c r="BT50" s="139"/>
      <c r="BU50" s="139"/>
      <c r="BV50" s="139"/>
      <c r="BW50" s="139"/>
      <c r="BX50" s="139"/>
      <c r="BY50" s="143"/>
      <c r="BZ50" s="171"/>
      <c r="CA50" s="139"/>
      <c r="CB50" s="139"/>
      <c r="CC50" s="139"/>
      <c r="CD50" s="139"/>
      <c r="CE50" s="139"/>
      <c r="CF50" s="139"/>
      <c r="CG50" s="139"/>
      <c r="CH50" s="139"/>
      <c r="CI50" s="139"/>
      <c r="CJ50" s="139"/>
      <c r="CK50" s="143"/>
      <c r="CL50" s="114"/>
    </row>
    <row r="51" spans="1:90" x14ac:dyDescent="0.3">
      <c r="A51" s="116"/>
      <c r="B51" s="184" t="s">
        <v>239</v>
      </c>
      <c r="C51" s="137">
        <v>2</v>
      </c>
      <c r="D51" s="208" t="s">
        <v>236</v>
      </c>
      <c r="E51" s="213" t="s">
        <v>237</v>
      </c>
      <c r="F51" s="137"/>
      <c r="G51" s="137"/>
      <c r="H51" s="137"/>
      <c r="I51" s="137"/>
      <c r="J51" s="137"/>
      <c r="K51" s="137"/>
      <c r="L51" s="137"/>
      <c r="M51" s="137"/>
      <c r="N51" s="137"/>
      <c r="O51" s="137"/>
      <c r="P51" s="137"/>
      <c r="Q51" s="137"/>
      <c r="R51" s="184"/>
      <c r="S51" s="137"/>
      <c r="T51" s="137"/>
      <c r="U51" s="137"/>
      <c r="V51" s="137"/>
      <c r="W51" s="137"/>
      <c r="X51" s="137"/>
      <c r="Y51" s="137"/>
      <c r="Z51" s="137"/>
      <c r="AA51" s="137"/>
      <c r="AB51" s="137"/>
      <c r="AC51" s="194"/>
      <c r="AD51" s="184"/>
      <c r="AE51" s="137"/>
      <c r="AF51" s="137"/>
      <c r="AG51" s="137"/>
      <c r="AH51" s="137"/>
      <c r="AI51" s="137"/>
      <c r="AJ51" s="137"/>
      <c r="AK51" s="137"/>
      <c r="AL51" s="137"/>
      <c r="AM51" s="137"/>
      <c r="AN51" s="137"/>
      <c r="AO51" s="194"/>
      <c r="AP51" s="184"/>
      <c r="AQ51" s="137"/>
      <c r="AR51" s="137"/>
      <c r="AS51" s="137"/>
      <c r="AT51" s="137"/>
      <c r="AU51" s="137"/>
      <c r="AV51" s="137"/>
      <c r="AW51" s="137"/>
      <c r="AX51" s="137"/>
      <c r="AY51" s="137"/>
      <c r="AZ51" s="137"/>
      <c r="BA51" s="194"/>
      <c r="BB51" s="184"/>
      <c r="BC51" s="137"/>
      <c r="BD51" s="137"/>
      <c r="BE51" s="137"/>
      <c r="BF51" s="137"/>
      <c r="BG51" s="137"/>
      <c r="BH51" s="137"/>
      <c r="BI51" s="137"/>
      <c r="BJ51" s="137"/>
      <c r="BK51" s="137"/>
      <c r="BL51" s="137"/>
      <c r="BM51" s="194"/>
      <c r="BN51" s="184"/>
      <c r="BO51" s="137"/>
      <c r="BP51" s="137"/>
      <c r="BQ51" s="137"/>
      <c r="BR51" s="137"/>
      <c r="BS51" s="137"/>
      <c r="BT51" s="137"/>
      <c r="BU51" s="137"/>
      <c r="BV51" s="137"/>
      <c r="BW51" s="137"/>
      <c r="BX51" s="137"/>
      <c r="BY51" s="194"/>
      <c r="BZ51" s="184"/>
      <c r="CA51" s="137"/>
      <c r="CB51" s="137"/>
      <c r="CC51" s="137"/>
      <c r="CD51" s="137"/>
      <c r="CE51" s="137"/>
      <c r="CF51" s="137"/>
      <c r="CG51" s="137"/>
      <c r="CH51" s="137"/>
      <c r="CI51" s="137"/>
      <c r="CJ51" s="137"/>
      <c r="CK51" s="194"/>
      <c r="CL51" s="114"/>
    </row>
    <row r="52" spans="1:90" ht="17.25" thickBot="1" x14ac:dyDescent="0.35">
      <c r="A52" s="116"/>
      <c r="B52" s="185" t="s">
        <v>239</v>
      </c>
      <c r="C52" s="195">
        <v>3</v>
      </c>
      <c r="D52" s="218" t="s">
        <v>236</v>
      </c>
      <c r="E52" s="219" t="s">
        <v>237</v>
      </c>
      <c r="F52" s="195"/>
      <c r="G52" s="195"/>
      <c r="H52" s="195"/>
      <c r="I52" s="195"/>
      <c r="J52" s="195"/>
      <c r="K52" s="195"/>
      <c r="L52" s="195"/>
      <c r="M52" s="195"/>
      <c r="N52" s="195"/>
      <c r="O52" s="195"/>
      <c r="P52" s="195"/>
      <c r="Q52" s="195"/>
      <c r="R52" s="185"/>
      <c r="S52" s="195"/>
      <c r="T52" s="195"/>
      <c r="U52" s="195"/>
      <c r="V52" s="195"/>
      <c r="W52" s="195"/>
      <c r="X52" s="195"/>
      <c r="Y52" s="195"/>
      <c r="Z52" s="195"/>
      <c r="AA52" s="195"/>
      <c r="AB52" s="195"/>
      <c r="AC52" s="196"/>
      <c r="AD52" s="185"/>
      <c r="AE52" s="195"/>
      <c r="AF52" s="195"/>
      <c r="AG52" s="195"/>
      <c r="AH52" s="195"/>
      <c r="AI52" s="195"/>
      <c r="AJ52" s="195"/>
      <c r="AK52" s="195"/>
      <c r="AL52" s="195"/>
      <c r="AM52" s="195"/>
      <c r="AN52" s="195"/>
      <c r="AO52" s="196"/>
      <c r="AP52" s="185"/>
      <c r="AQ52" s="195"/>
      <c r="AR52" s="195"/>
      <c r="AS52" s="195"/>
      <c r="AT52" s="195"/>
      <c r="AU52" s="195"/>
      <c r="AV52" s="195"/>
      <c r="AW52" s="195"/>
      <c r="AX52" s="195"/>
      <c r="AY52" s="195"/>
      <c r="AZ52" s="195"/>
      <c r="BA52" s="196"/>
      <c r="BB52" s="185"/>
      <c r="BC52" s="195"/>
      <c r="BD52" s="195"/>
      <c r="BE52" s="195"/>
      <c r="BF52" s="195"/>
      <c r="BG52" s="195"/>
      <c r="BH52" s="195"/>
      <c r="BI52" s="195"/>
      <c r="BJ52" s="195"/>
      <c r="BK52" s="195"/>
      <c r="BL52" s="195"/>
      <c r="BM52" s="196"/>
      <c r="BN52" s="185"/>
      <c r="BO52" s="195"/>
      <c r="BP52" s="195"/>
      <c r="BQ52" s="195"/>
      <c r="BR52" s="195"/>
      <c r="BS52" s="195"/>
      <c r="BT52" s="195"/>
      <c r="BU52" s="195"/>
      <c r="BV52" s="195"/>
      <c r="BW52" s="195"/>
      <c r="BX52" s="195"/>
      <c r="BY52" s="196"/>
      <c r="BZ52" s="185"/>
      <c r="CA52" s="195"/>
      <c r="CB52" s="195"/>
      <c r="CC52" s="195"/>
      <c r="CD52" s="195"/>
      <c r="CE52" s="195"/>
      <c r="CF52" s="195"/>
      <c r="CG52" s="195"/>
      <c r="CH52" s="195"/>
      <c r="CI52" s="195"/>
      <c r="CJ52" s="195"/>
      <c r="CK52" s="196"/>
      <c r="CL52" s="114"/>
    </row>
    <row r="53" spans="1:90" x14ac:dyDescent="0.3">
      <c r="A53" s="116"/>
      <c r="B53" s="150" t="s">
        <v>240</v>
      </c>
      <c r="C53" s="188">
        <v>5</v>
      </c>
      <c r="D53" s="215" t="s">
        <v>236</v>
      </c>
      <c r="E53" s="216" t="s">
        <v>237</v>
      </c>
      <c r="F53" s="188"/>
      <c r="G53" s="188"/>
      <c r="H53" s="188"/>
      <c r="I53" s="188"/>
      <c r="J53" s="188"/>
      <c r="K53" s="188"/>
      <c r="L53" s="188"/>
      <c r="M53" s="188"/>
      <c r="N53" s="188"/>
      <c r="O53" s="188"/>
      <c r="P53" s="188"/>
      <c r="Q53" s="188"/>
      <c r="R53" s="150"/>
      <c r="S53" s="188"/>
      <c r="T53" s="188"/>
      <c r="U53" s="188"/>
      <c r="V53" s="188"/>
      <c r="W53" s="188"/>
      <c r="X53" s="188"/>
      <c r="Y53" s="188"/>
      <c r="Z53" s="188"/>
      <c r="AA53" s="188"/>
      <c r="AB53" s="188"/>
      <c r="AC53" s="189"/>
      <c r="AD53" s="150"/>
      <c r="AE53" s="188"/>
      <c r="AF53" s="188"/>
      <c r="AG53" s="188"/>
      <c r="AH53" s="188"/>
      <c r="AI53" s="188"/>
      <c r="AJ53" s="188"/>
      <c r="AK53" s="188"/>
      <c r="AL53" s="188"/>
      <c r="AM53" s="188"/>
      <c r="AN53" s="188"/>
      <c r="AO53" s="189"/>
      <c r="AP53" s="150"/>
      <c r="AQ53" s="188"/>
      <c r="AR53" s="188"/>
      <c r="AS53" s="188"/>
      <c r="AT53" s="188"/>
      <c r="AU53" s="188"/>
      <c r="AV53" s="188"/>
      <c r="AW53" s="188"/>
      <c r="AX53" s="188"/>
      <c r="AY53" s="188"/>
      <c r="AZ53" s="188"/>
      <c r="BA53" s="189"/>
      <c r="BB53" s="150"/>
      <c r="BC53" s="188"/>
      <c r="BD53" s="188"/>
      <c r="BE53" s="188"/>
      <c r="BF53" s="188"/>
      <c r="BG53" s="188"/>
      <c r="BH53" s="188"/>
      <c r="BI53" s="188"/>
      <c r="BJ53" s="188"/>
      <c r="BK53" s="188"/>
      <c r="BL53" s="188"/>
      <c r="BM53" s="189"/>
      <c r="BN53" s="150"/>
      <c r="BO53" s="188"/>
      <c r="BP53" s="188"/>
      <c r="BQ53" s="188"/>
      <c r="BR53" s="188"/>
      <c r="BS53" s="188"/>
      <c r="BT53" s="188"/>
      <c r="BU53" s="188"/>
      <c r="BV53" s="188"/>
      <c r="BW53" s="188"/>
      <c r="BX53" s="188"/>
      <c r="BY53" s="189"/>
      <c r="BZ53" s="150"/>
      <c r="CA53" s="188"/>
      <c r="CB53" s="188"/>
      <c r="CC53" s="188"/>
      <c r="CD53" s="188"/>
      <c r="CE53" s="188"/>
      <c r="CF53" s="188"/>
      <c r="CG53" s="188"/>
      <c r="CH53" s="188"/>
      <c r="CI53" s="188"/>
      <c r="CJ53" s="188"/>
      <c r="CK53" s="189"/>
      <c r="CL53" s="114"/>
    </row>
    <row r="54" spans="1:90" ht="17.25" thickBot="1" x14ac:dyDescent="0.35">
      <c r="A54" s="116"/>
      <c r="B54" s="185" t="s">
        <v>240</v>
      </c>
      <c r="C54" s="195">
        <v>6</v>
      </c>
      <c r="D54" s="218" t="s">
        <v>236</v>
      </c>
      <c r="E54" s="219" t="s">
        <v>237</v>
      </c>
      <c r="F54" s="195"/>
      <c r="G54" s="195"/>
      <c r="H54" s="195"/>
      <c r="I54" s="195"/>
      <c r="J54" s="195"/>
      <c r="K54" s="195"/>
      <c r="L54" s="195"/>
      <c r="M54" s="195"/>
      <c r="N54" s="195"/>
      <c r="O54" s="195"/>
      <c r="P54" s="195"/>
      <c r="Q54" s="195"/>
      <c r="R54" s="185"/>
      <c r="S54" s="195"/>
      <c r="T54" s="195"/>
      <c r="U54" s="195"/>
      <c r="V54" s="195"/>
      <c r="W54" s="195"/>
      <c r="X54" s="195"/>
      <c r="Y54" s="195"/>
      <c r="Z54" s="195"/>
      <c r="AA54" s="195"/>
      <c r="AB54" s="195"/>
      <c r="AC54" s="196"/>
      <c r="AD54" s="185"/>
      <c r="AE54" s="195"/>
      <c r="AF54" s="195"/>
      <c r="AG54" s="195"/>
      <c r="AH54" s="195"/>
      <c r="AI54" s="195"/>
      <c r="AJ54" s="195"/>
      <c r="AK54" s="195"/>
      <c r="AL54" s="195"/>
      <c r="AM54" s="195"/>
      <c r="AN54" s="195"/>
      <c r="AO54" s="196"/>
      <c r="AP54" s="185"/>
      <c r="AQ54" s="195"/>
      <c r="AR54" s="195"/>
      <c r="AS54" s="195"/>
      <c r="AT54" s="195"/>
      <c r="AU54" s="195"/>
      <c r="AV54" s="195"/>
      <c r="AW54" s="195"/>
      <c r="AX54" s="195"/>
      <c r="AY54" s="195"/>
      <c r="AZ54" s="195"/>
      <c r="BA54" s="196"/>
      <c r="BB54" s="185"/>
      <c r="BC54" s="195"/>
      <c r="BD54" s="195"/>
      <c r="BE54" s="195"/>
      <c r="BF54" s="195"/>
      <c r="BG54" s="195"/>
      <c r="BH54" s="195"/>
      <c r="BI54" s="195"/>
      <c r="BJ54" s="195"/>
      <c r="BK54" s="195"/>
      <c r="BL54" s="195"/>
      <c r="BM54" s="196"/>
      <c r="BN54" s="185"/>
      <c r="BO54" s="195"/>
      <c r="BP54" s="195"/>
      <c r="BQ54" s="195"/>
      <c r="BR54" s="195"/>
      <c r="BS54" s="195"/>
      <c r="BT54" s="195"/>
      <c r="BU54" s="195"/>
      <c r="BV54" s="195"/>
      <c r="BW54" s="195"/>
      <c r="BX54" s="195"/>
      <c r="BY54" s="196"/>
      <c r="BZ54" s="185"/>
      <c r="CA54" s="195"/>
      <c r="CB54" s="195"/>
      <c r="CC54" s="195"/>
      <c r="CD54" s="195"/>
      <c r="CE54" s="195"/>
      <c r="CF54" s="195"/>
      <c r="CG54" s="195"/>
      <c r="CH54" s="195"/>
      <c r="CI54" s="195"/>
      <c r="CJ54" s="195"/>
      <c r="CK54" s="196"/>
      <c r="CL54" s="114"/>
    </row>
    <row r="55" spans="1:90" x14ac:dyDescent="0.3">
      <c r="A55" s="116"/>
      <c r="B55" s="150" t="s">
        <v>241</v>
      </c>
      <c r="C55" s="188">
        <v>1</v>
      </c>
      <c r="D55" s="215" t="s">
        <v>236</v>
      </c>
      <c r="E55" s="216" t="s">
        <v>237</v>
      </c>
      <c r="F55" s="188"/>
      <c r="G55" s="188"/>
      <c r="H55" s="188"/>
      <c r="I55" s="188"/>
      <c r="J55" s="188"/>
      <c r="K55" s="188"/>
      <c r="L55" s="188"/>
      <c r="M55" s="188"/>
      <c r="N55" s="188"/>
      <c r="O55" s="188"/>
      <c r="P55" s="188"/>
      <c r="Q55" s="188"/>
      <c r="R55" s="150"/>
      <c r="S55" s="188"/>
      <c r="T55" s="188"/>
      <c r="U55" s="188"/>
      <c r="V55" s="188"/>
      <c r="W55" s="188"/>
      <c r="X55" s="188"/>
      <c r="Y55" s="188"/>
      <c r="Z55" s="188"/>
      <c r="AA55" s="188"/>
      <c r="AB55" s="188"/>
      <c r="AC55" s="189"/>
      <c r="AD55" s="150"/>
      <c r="AE55" s="188"/>
      <c r="AF55" s="188"/>
      <c r="AG55" s="188"/>
      <c r="AH55" s="188"/>
      <c r="AI55" s="188"/>
      <c r="AJ55" s="188"/>
      <c r="AK55" s="188"/>
      <c r="AL55" s="188"/>
      <c r="AM55" s="188"/>
      <c r="AN55" s="188"/>
      <c r="AO55" s="189"/>
      <c r="AP55" s="150"/>
      <c r="AQ55" s="188"/>
      <c r="AR55" s="188"/>
      <c r="AS55" s="188"/>
      <c r="AT55" s="188"/>
      <c r="AU55" s="188"/>
      <c r="AV55" s="188"/>
      <c r="AW55" s="188"/>
      <c r="AX55" s="188"/>
      <c r="AY55" s="188"/>
      <c r="AZ55" s="188"/>
      <c r="BA55" s="189"/>
      <c r="BB55" s="150"/>
      <c r="BC55" s="188"/>
      <c r="BD55" s="188"/>
      <c r="BE55" s="188"/>
      <c r="BF55" s="188"/>
      <c r="BG55" s="188"/>
      <c r="BH55" s="188"/>
      <c r="BI55" s="188"/>
      <c r="BJ55" s="188"/>
      <c r="BK55" s="188"/>
      <c r="BL55" s="188"/>
      <c r="BM55" s="189"/>
      <c r="BN55" s="150"/>
      <c r="BO55" s="188"/>
      <c r="BP55" s="188"/>
      <c r="BQ55" s="188"/>
      <c r="BR55" s="188"/>
      <c r="BS55" s="188"/>
      <c r="BT55" s="188"/>
      <c r="BU55" s="188"/>
      <c r="BV55" s="188"/>
      <c r="BW55" s="188"/>
      <c r="BX55" s="188"/>
      <c r="BY55" s="189"/>
      <c r="BZ55" s="150"/>
      <c r="CA55" s="188"/>
      <c r="CB55" s="188"/>
      <c r="CC55" s="188"/>
      <c r="CD55" s="188"/>
      <c r="CE55" s="188"/>
      <c r="CF55" s="188"/>
      <c r="CG55" s="188"/>
      <c r="CH55" s="188"/>
      <c r="CI55" s="188"/>
      <c r="CJ55" s="188"/>
      <c r="CK55" s="189"/>
      <c r="CL55" s="114"/>
    </row>
    <row r="56" spans="1:90" ht="17.25" thickBot="1" x14ac:dyDescent="0.35">
      <c r="A56" s="116"/>
      <c r="B56" s="185" t="s">
        <v>241</v>
      </c>
      <c r="C56" s="195">
        <v>2</v>
      </c>
      <c r="D56" s="218" t="s">
        <v>236</v>
      </c>
      <c r="E56" s="219" t="s">
        <v>237</v>
      </c>
      <c r="F56" s="195"/>
      <c r="G56" s="195"/>
      <c r="H56" s="195"/>
      <c r="I56" s="195"/>
      <c r="J56" s="195"/>
      <c r="K56" s="195"/>
      <c r="L56" s="195"/>
      <c r="M56" s="195"/>
      <c r="N56" s="195"/>
      <c r="O56" s="195"/>
      <c r="P56" s="195"/>
      <c r="Q56" s="195"/>
      <c r="R56" s="185"/>
      <c r="S56" s="195"/>
      <c r="T56" s="195"/>
      <c r="U56" s="195"/>
      <c r="V56" s="195"/>
      <c r="W56" s="195"/>
      <c r="X56" s="195"/>
      <c r="Y56" s="195"/>
      <c r="Z56" s="195"/>
      <c r="AA56" s="195"/>
      <c r="AB56" s="195"/>
      <c r="AC56" s="196"/>
      <c r="AD56" s="185"/>
      <c r="AE56" s="195"/>
      <c r="AF56" s="195"/>
      <c r="AG56" s="195"/>
      <c r="AH56" s="195"/>
      <c r="AI56" s="195"/>
      <c r="AJ56" s="195"/>
      <c r="AK56" s="195"/>
      <c r="AL56" s="195"/>
      <c r="AM56" s="195"/>
      <c r="AN56" s="195"/>
      <c r="AO56" s="196"/>
      <c r="AP56" s="185"/>
      <c r="AQ56" s="195"/>
      <c r="AR56" s="195"/>
      <c r="AS56" s="195"/>
      <c r="AT56" s="195"/>
      <c r="AU56" s="195"/>
      <c r="AV56" s="195"/>
      <c r="AW56" s="195"/>
      <c r="AX56" s="195"/>
      <c r="AY56" s="195"/>
      <c r="AZ56" s="195"/>
      <c r="BA56" s="196"/>
      <c r="BB56" s="185"/>
      <c r="BC56" s="195"/>
      <c r="BD56" s="195"/>
      <c r="BE56" s="195"/>
      <c r="BF56" s="195"/>
      <c r="BG56" s="195"/>
      <c r="BH56" s="195"/>
      <c r="BI56" s="195"/>
      <c r="BJ56" s="195"/>
      <c r="BK56" s="195"/>
      <c r="BL56" s="195"/>
      <c r="BM56" s="196"/>
      <c r="BN56" s="185"/>
      <c r="BO56" s="195"/>
      <c r="BP56" s="195"/>
      <c r="BQ56" s="195"/>
      <c r="BR56" s="195"/>
      <c r="BS56" s="195"/>
      <c r="BT56" s="195"/>
      <c r="BU56" s="195"/>
      <c r="BV56" s="195"/>
      <c r="BW56" s="195"/>
      <c r="BX56" s="195"/>
      <c r="BY56" s="196"/>
      <c r="BZ56" s="185"/>
      <c r="CA56" s="195"/>
      <c r="CB56" s="195"/>
      <c r="CC56" s="195"/>
      <c r="CD56" s="195"/>
      <c r="CE56" s="195"/>
      <c r="CF56" s="195"/>
      <c r="CG56" s="195"/>
      <c r="CH56" s="195"/>
      <c r="CI56" s="195"/>
      <c r="CJ56" s="195"/>
      <c r="CK56" s="196"/>
      <c r="CL56" s="114"/>
    </row>
    <row r="57" spans="1:90" x14ac:dyDescent="0.3">
      <c r="A57" s="116"/>
      <c r="B57" s="150" t="s">
        <v>242</v>
      </c>
      <c r="C57" s="188" t="s">
        <v>243</v>
      </c>
      <c r="D57" s="215" t="s">
        <v>236</v>
      </c>
      <c r="E57" s="216" t="s">
        <v>244</v>
      </c>
      <c r="F57" s="188"/>
      <c r="G57" s="188"/>
      <c r="H57" s="188"/>
      <c r="I57" s="188"/>
      <c r="J57" s="188"/>
      <c r="K57" s="188"/>
      <c r="L57" s="188"/>
      <c r="M57" s="188"/>
      <c r="N57" s="188"/>
      <c r="O57" s="188"/>
      <c r="P57" s="188"/>
      <c r="Q57" s="188"/>
      <c r="R57" s="150"/>
      <c r="S57" s="188"/>
      <c r="T57" s="188"/>
      <c r="U57" s="188"/>
      <c r="V57" s="188"/>
      <c r="W57" s="188"/>
      <c r="X57" s="188"/>
      <c r="Y57" s="188"/>
      <c r="Z57" s="188"/>
      <c r="AA57" s="188"/>
      <c r="AB57" s="188"/>
      <c r="AC57" s="189"/>
      <c r="AD57" s="150"/>
      <c r="AE57" s="188"/>
      <c r="AF57" s="188"/>
      <c r="AG57" s="188"/>
      <c r="AH57" s="188"/>
      <c r="AI57" s="188"/>
      <c r="AJ57" s="188"/>
      <c r="AK57" s="188"/>
      <c r="AL57" s="188"/>
      <c r="AM57" s="188"/>
      <c r="AN57" s="188"/>
      <c r="AO57" s="189"/>
      <c r="AP57" s="150"/>
      <c r="AQ57" s="188"/>
      <c r="AR57" s="188"/>
      <c r="AS57" s="188"/>
      <c r="AT57" s="188"/>
      <c r="AU57" s="188"/>
      <c r="AV57" s="188"/>
      <c r="AW57" s="188"/>
      <c r="AX57" s="188"/>
      <c r="AY57" s="188"/>
      <c r="AZ57" s="188"/>
      <c r="BA57" s="189"/>
      <c r="BB57" s="150"/>
      <c r="BC57" s="188"/>
      <c r="BD57" s="188"/>
      <c r="BE57" s="188"/>
      <c r="BF57" s="188"/>
      <c r="BG57" s="188"/>
      <c r="BH57" s="188"/>
      <c r="BI57" s="188"/>
      <c r="BJ57" s="188"/>
      <c r="BK57" s="188"/>
      <c r="BL57" s="188"/>
      <c r="BM57" s="189"/>
      <c r="BN57" s="150"/>
      <c r="BO57" s="188"/>
      <c r="BP57" s="188"/>
      <c r="BQ57" s="188"/>
      <c r="BR57" s="188"/>
      <c r="BS57" s="188"/>
      <c r="BT57" s="188"/>
      <c r="BU57" s="188"/>
      <c r="BV57" s="188"/>
      <c r="BW57" s="188"/>
      <c r="BX57" s="188"/>
      <c r="BY57" s="189"/>
      <c r="BZ57" s="150"/>
      <c r="CA57" s="188"/>
      <c r="CB57" s="188"/>
      <c r="CC57" s="188"/>
      <c r="CD57" s="188"/>
      <c r="CE57" s="188"/>
      <c r="CF57" s="188"/>
      <c r="CG57" s="188"/>
      <c r="CH57" s="188"/>
      <c r="CI57" s="188"/>
      <c r="CJ57" s="188"/>
      <c r="CK57" s="189"/>
      <c r="CL57" s="114"/>
    </row>
    <row r="58" spans="1:90" x14ac:dyDescent="0.3">
      <c r="A58" s="116"/>
      <c r="B58" s="184" t="s">
        <v>242</v>
      </c>
      <c r="C58" s="137" t="s">
        <v>245</v>
      </c>
      <c r="D58" s="208" t="s">
        <v>236</v>
      </c>
      <c r="E58" s="213" t="s">
        <v>244</v>
      </c>
      <c r="F58" s="137"/>
      <c r="G58" s="137"/>
      <c r="H58" s="137"/>
      <c r="I58" s="137"/>
      <c r="J58" s="137"/>
      <c r="K58" s="137"/>
      <c r="L58" s="137"/>
      <c r="M58" s="137"/>
      <c r="N58" s="137"/>
      <c r="O58" s="137"/>
      <c r="P58" s="137"/>
      <c r="Q58" s="137"/>
      <c r="R58" s="184"/>
      <c r="S58" s="137"/>
      <c r="T58" s="137"/>
      <c r="U58" s="137"/>
      <c r="V58" s="137"/>
      <c r="W58" s="137"/>
      <c r="X58" s="137"/>
      <c r="Y58" s="137"/>
      <c r="Z58" s="137"/>
      <c r="AA58" s="137"/>
      <c r="AB58" s="137"/>
      <c r="AC58" s="194"/>
      <c r="AD58" s="184"/>
      <c r="AE58" s="137"/>
      <c r="AF58" s="137"/>
      <c r="AG58" s="137"/>
      <c r="AH58" s="137"/>
      <c r="AI58" s="137"/>
      <c r="AJ58" s="137"/>
      <c r="AK58" s="137"/>
      <c r="AL58" s="137"/>
      <c r="AM58" s="137"/>
      <c r="AN58" s="137"/>
      <c r="AO58" s="194"/>
      <c r="AP58" s="184"/>
      <c r="AQ58" s="137"/>
      <c r="AR58" s="137"/>
      <c r="AS58" s="137"/>
      <c r="AT58" s="137"/>
      <c r="AU58" s="137"/>
      <c r="AV58" s="137"/>
      <c r="AW58" s="137"/>
      <c r="AX58" s="137"/>
      <c r="AY58" s="137"/>
      <c r="AZ58" s="137"/>
      <c r="BA58" s="194"/>
      <c r="BB58" s="184"/>
      <c r="BC58" s="137"/>
      <c r="BD58" s="137"/>
      <c r="BE58" s="137"/>
      <c r="BF58" s="137"/>
      <c r="BG58" s="137"/>
      <c r="BH58" s="137"/>
      <c r="BI58" s="137"/>
      <c r="BJ58" s="137"/>
      <c r="BK58" s="137"/>
      <c r="BL58" s="137"/>
      <c r="BM58" s="194"/>
      <c r="BN58" s="184"/>
      <c r="BO58" s="137"/>
      <c r="BP58" s="137"/>
      <c r="BQ58" s="137"/>
      <c r="BR58" s="137"/>
      <c r="BS58" s="137"/>
      <c r="BT58" s="137"/>
      <c r="BU58" s="137"/>
      <c r="BV58" s="137"/>
      <c r="BW58" s="137"/>
      <c r="BX58" s="137"/>
      <c r="BY58" s="194"/>
      <c r="BZ58" s="184"/>
      <c r="CA58" s="137"/>
      <c r="CB58" s="137"/>
      <c r="CC58" s="137"/>
      <c r="CD58" s="137"/>
      <c r="CE58" s="137"/>
      <c r="CF58" s="137"/>
      <c r="CG58" s="137"/>
      <c r="CH58" s="137"/>
      <c r="CI58" s="137"/>
      <c r="CJ58" s="137"/>
      <c r="CK58" s="194"/>
      <c r="CL58" s="114"/>
    </row>
    <row r="59" spans="1:90" x14ac:dyDescent="0.3">
      <c r="A59" s="114"/>
      <c r="B59" s="184" t="s">
        <v>242</v>
      </c>
      <c r="C59" s="137" t="s">
        <v>246</v>
      </c>
      <c r="D59" s="208" t="s">
        <v>236</v>
      </c>
      <c r="E59" s="213" t="s">
        <v>244</v>
      </c>
      <c r="F59" s="137"/>
      <c r="G59" s="137"/>
      <c r="H59" s="137"/>
      <c r="I59" s="137"/>
      <c r="J59" s="137"/>
      <c r="K59" s="137"/>
      <c r="L59" s="137"/>
      <c r="M59" s="137"/>
      <c r="N59" s="137"/>
      <c r="O59" s="137"/>
      <c r="P59" s="137"/>
      <c r="Q59" s="137"/>
      <c r="R59" s="184"/>
      <c r="S59" s="137"/>
      <c r="T59" s="137"/>
      <c r="U59" s="137"/>
      <c r="V59" s="137"/>
      <c r="W59" s="137"/>
      <c r="X59" s="137"/>
      <c r="Y59" s="137"/>
      <c r="Z59" s="137"/>
      <c r="AA59" s="137"/>
      <c r="AB59" s="137"/>
      <c r="AC59" s="194"/>
      <c r="AD59" s="184"/>
      <c r="AE59" s="137"/>
      <c r="AF59" s="137"/>
      <c r="AG59" s="137"/>
      <c r="AH59" s="137"/>
      <c r="AI59" s="137"/>
      <c r="AJ59" s="137"/>
      <c r="AK59" s="137"/>
      <c r="AL59" s="137"/>
      <c r="AM59" s="137"/>
      <c r="AN59" s="137"/>
      <c r="AO59" s="194"/>
      <c r="AP59" s="184"/>
      <c r="AQ59" s="137"/>
      <c r="AR59" s="137"/>
      <c r="AS59" s="137"/>
      <c r="AT59" s="137"/>
      <c r="AU59" s="137"/>
      <c r="AV59" s="137"/>
      <c r="AW59" s="137"/>
      <c r="AX59" s="137"/>
      <c r="AY59" s="137"/>
      <c r="AZ59" s="137"/>
      <c r="BA59" s="194"/>
      <c r="BB59" s="184"/>
      <c r="BC59" s="137"/>
      <c r="BD59" s="137"/>
      <c r="BE59" s="137"/>
      <c r="BF59" s="137"/>
      <c r="BG59" s="137"/>
      <c r="BH59" s="137"/>
      <c r="BI59" s="137"/>
      <c r="BJ59" s="137"/>
      <c r="BK59" s="137"/>
      <c r="BL59" s="137"/>
      <c r="BM59" s="194"/>
      <c r="BN59" s="184"/>
      <c r="BO59" s="137"/>
      <c r="BP59" s="137"/>
      <c r="BQ59" s="137"/>
      <c r="BR59" s="137"/>
      <c r="BS59" s="137"/>
      <c r="BT59" s="137"/>
      <c r="BU59" s="137"/>
      <c r="BV59" s="137"/>
      <c r="BW59" s="137"/>
      <c r="BX59" s="137"/>
      <c r="BY59" s="194"/>
      <c r="BZ59" s="184"/>
      <c r="CA59" s="137"/>
      <c r="CB59" s="137"/>
      <c r="CC59" s="137"/>
      <c r="CD59" s="137"/>
      <c r="CE59" s="137"/>
      <c r="CF59" s="137"/>
      <c r="CG59" s="137"/>
      <c r="CH59" s="137"/>
      <c r="CI59" s="137"/>
      <c r="CJ59" s="137"/>
      <c r="CK59" s="194"/>
      <c r="CL59" s="114"/>
    </row>
    <row r="60" spans="1:90" x14ac:dyDescent="0.3">
      <c r="A60" s="114"/>
      <c r="B60" s="184" t="s">
        <v>242</v>
      </c>
      <c r="C60" s="137" t="s">
        <v>247</v>
      </c>
      <c r="D60" s="208" t="s">
        <v>236</v>
      </c>
      <c r="E60" s="213" t="s">
        <v>244</v>
      </c>
      <c r="F60" s="137"/>
      <c r="G60" s="137"/>
      <c r="H60" s="137"/>
      <c r="I60" s="137"/>
      <c r="J60" s="137"/>
      <c r="K60" s="137"/>
      <c r="L60" s="137"/>
      <c r="M60" s="137"/>
      <c r="N60" s="137"/>
      <c r="O60" s="137"/>
      <c r="P60" s="137"/>
      <c r="Q60" s="137"/>
      <c r="R60" s="184"/>
      <c r="S60" s="137"/>
      <c r="T60" s="137"/>
      <c r="U60" s="137"/>
      <c r="V60" s="137"/>
      <c r="W60" s="137"/>
      <c r="X60" s="137"/>
      <c r="Y60" s="137"/>
      <c r="Z60" s="137"/>
      <c r="AA60" s="137"/>
      <c r="AB60" s="137"/>
      <c r="AC60" s="194"/>
      <c r="AD60" s="184"/>
      <c r="AE60" s="137"/>
      <c r="AF60" s="137"/>
      <c r="AG60" s="137"/>
      <c r="AH60" s="137"/>
      <c r="AI60" s="137"/>
      <c r="AJ60" s="137"/>
      <c r="AK60" s="137"/>
      <c r="AL60" s="137"/>
      <c r="AM60" s="137"/>
      <c r="AN60" s="137"/>
      <c r="AO60" s="194"/>
      <c r="AP60" s="184"/>
      <c r="AQ60" s="137"/>
      <c r="AR60" s="137"/>
      <c r="AS60" s="137"/>
      <c r="AT60" s="137"/>
      <c r="AU60" s="137"/>
      <c r="AV60" s="137"/>
      <c r="AW60" s="137"/>
      <c r="AX60" s="137"/>
      <c r="AY60" s="137"/>
      <c r="AZ60" s="137"/>
      <c r="BA60" s="194"/>
      <c r="BB60" s="184"/>
      <c r="BC60" s="137"/>
      <c r="BD60" s="137"/>
      <c r="BE60" s="137"/>
      <c r="BF60" s="137"/>
      <c r="BG60" s="137"/>
      <c r="BH60" s="137"/>
      <c r="BI60" s="137"/>
      <c r="BJ60" s="137"/>
      <c r="BK60" s="137"/>
      <c r="BL60" s="137"/>
      <c r="BM60" s="194"/>
      <c r="BN60" s="184"/>
      <c r="BO60" s="137"/>
      <c r="BP60" s="137"/>
      <c r="BQ60" s="137"/>
      <c r="BR60" s="137"/>
      <c r="BS60" s="137"/>
      <c r="BT60" s="137"/>
      <c r="BU60" s="137"/>
      <c r="BV60" s="137"/>
      <c r="BW60" s="137"/>
      <c r="BX60" s="137"/>
      <c r="BY60" s="194"/>
      <c r="BZ60" s="184"/>
      <c r="CA60" s="137"/>
      <c r="CB60" s="137"/>
      <c r="CC60" s="137"/>
      <c r="CD60" s="137"/>
      <c r="CE60" s="137"/>
      <c r="CF60" s="137"/>
      <c r="CG60" s="137"/>
      <c r="CH60" s="137"/>
      <c r="CI60" s="137"/>
      <c r="CJ60" s="137"/>
      <c r="CK60" s="194"/>
      <c r="CL60" s="114"/>
    </row>
    <row r="61" spans="1:90" x14ac:dyDescent="0.3">
      <c r="A61" s="114"/>
      <c r="B61" s="184" t="s">
        <v>242</v>
      </c>
      <c r="C61" s="137" t="s">
        <v>23</v>
      </c>
      <c r="D61" s="208" t="s">
        <v>236</v>
      </c>
      <c r="E61" s="213" t="s">
        <v>244</v>
      </c>
      <c r="F61" s="137"/>
      <c r="G61" s="137"/>
      <c r="H61" s="137"/>
      <c r="I61" s="137"/>
      <c r="J61" s="137"/>
      <c r="K61" s="137"/>
      <c r="L61" s="137"/>
      <c r="M61" s="137"/>
      <c r="N61" s="137"/>
      <c r="O61" s="137"/>
      <c r="P61" s="137"/>
      <c r="Q61" s="137"/>
      <c r="R61" s="184"/>
      <c r="S61" s="137"/>
      <c r="T61" s="137"/>
      <c r="U61" s="137"/>
      <c r="V61" s="137"/>
      <c r="W61" s="137"/>
      <c r="X61" s="137"/>
      <c r="Y61" s="137"/>
      <c r="Z61" s="137"/>
      <c r="AA61" s="137"/>
      <c r="AB61" s="137"/>
      <c r="AC61" s="194"/>
      <c r="AD61" s="184"/>
      <c r="AE61" s="137"/>
      <c r="AF61" s="137"/>
      <c r="AG61" s="137"/>
      <c r="AH61" s="137"/>
      <c r="AI61" s="137"/>
      <c r="AJ61" s="137"/>
      <c r="AK61" s="137"/>
      <c r="AL61" s="137"/>
      <c r="AM61" s="137"/>
      <c r="AN61" s="137"/>
      <c r="AO61" s="194"/>
      <c r="AP61" s="184"/>
      <c r="AQ61" s="137"/>
      <c r="AR61" s="137"/>
      <c r="AS61" s="137"/>
      <c r="AT61" s="137"/>
      <c r="AU61" s="137"/>
      <c r="AV61" s="137"/>
      <c r="AW61" s="137"/>
      <c r="AX61" s="137"/>
      <c r="AY61" s="137"/>
      <c r="AZ61" s="137"/>
      <c r="BA61" s="194"/>
      <c r="BB61" s="184"/>
      <c r="BC61" s="137"/>
      <c r="BD61" s="137"/>
      <c r="BE61" s="137"/>
      <c r="BF61" s="137"/>
      <c r="BG61" s="137"/>
      <c r="BH61" s="137"/>
      <c r="BI61" s="137"/>
      <c r="BJ61" s="137"/>
      <c r="BK61" s="137"/>
      <c r="BL61" s="137"/>
      <c r="BM61" s="194"/>
      <c r="BN61" s="184"/>
      <c r="BO61" s="137"/>
      <c r="BP61" s="137"/>
      <c r="BQ61" s="137"/>
      <c r="BR61" s="137"/>
      <c r="BS61" s="137"/>
      <c r="BT61" s="137"/>
      <c r="BU61" s="137"/>
      <c r="BV61" s="137"/>
      <c r="BW61" s="137"/>
      <c r="BX61" s="137"/>
      <c r="BY61" s="194"/>
      <c r="BZ61" s="184"/>
      <c r="CA61" s="137"/>
      <c r="CB61" s="137"/>
      <c r="CC61" s="137"/>
      <c r="CD61" s="137"/>
      <c r="CE61" s="137"/>
      <c r="CF61" s="137"/>
      <c r="CG61" s="137"/>
      <c r="CH61" s="137"/>
      <c r="CI61" s="137"/>
      <c r="CJ61" s="137"/>
      <c r="CK61" s="194"/>
      <c r="CL61" s="114"/>
    </row>
    <row r="62" spans="1:90" x14ac:dyDescent="0.3">
      <c r="A62" s="114"/>
      <c r="B62" s="184" t="s">
        <v>242</v>
      </c>
      <c r="C62" s="137" t="s">
        <v>24</v>
      </c>
      <c r="D62" s="208" t="s">
        <v>236</v>
      </c>
      <c r="E62" s="213" t="s">
        <v>244</v>
      </c>
      <c r="F62" s="137"/>
      <c r="G62" s="137"/>
      <c r="H62" s="137"/>
      <c r="I62" s="137"/>
      <c r="J62" s="137"/>
      <c r="K62" s="137"/>
      <c r="L62" s="137"/>
      <c r="M62" s="137"/>
      <c r="N62" s="137"/>
      <c r="O62" s="137"/>
      <c r="P62" s="137"/>
      <c r="Q62" s="137"/>
      <c r="R62" s="184"/>
      <c r="S62" s="137"/>
      <c r="T62" s="137"/>
      <c r="U62" s="137"/>
      <c r="V62" s="137"/>
      <c r="W62" s="137"/>
      <c r="X62" s="137"/>
      <c r="Y62" s="137"/>
      <c r="Z62" s="137"/>
      <c r="AA62" s="137"/>
      <c r="AB62" s="137"/>
      <c r="AC62" s="194"/>
      <c r="AD62" s="184"/>
      <c r="AE62" s="137"/>
      <c r="AF62" s="137"/>
      <c r="AG62" s="137"/>
      <c r="AH62" s="137"/>
      <c r="AI62" s="137"/>
      <c r="AJ62" s="137"/>
      <c r="AK62" s="137"/>
      <c r="AL62" s="137"/>
      <c r="AM62" s="137"/>
      <c r="AN62" s="137"/>
      <c r="AO62" s="194"/>
      <c r="AP62" s="184"/>
      <c r="AQ62" s="137"/>
      <c r="AR62" s="137"/>
      <c r="AS62" s="137"/>
      <c r="AT62" s="137"/>
      <c r="AU62" s="137"/>
      <c r="AV62" s="137"/>
      <c r="AW62" s="137"/>
      <c r="AX62" s="137"/>
      <c r="AY62" s="137"/>
      <c r="AZ62" s="137"/>
      <c r="BA62" s="194"/>
      <c r="BB62" s="184"/>
      <c r="BC62" s="137"/>
      <c r="BD62" s="137"/>
      <c r="BE62" s="137"/>
      <c r="BF62" s="137"/>
      <c r="BG62" s="137"/>
      <c r="BH62" s="137"/>
      <c r="BI62" s="137"/>
      <c r="BJ62" s="137"/>
      <c r="BK62" s="137"/>
      <c r="BL62" s="137"/>
      <c r="BM62" s="194"/>
      <c r="BN62" s="184"/>
      <c r="BO62" s="137"/>
      <c r="BP62" s="137"/>
      <c r="BQ62" s="137"/>
      <c r="BR62" s="137"/>
      <c r="BS62" s="137"/>
      <c r="BT62" s="137"/>
      <c r="BU62" s="137"/>
      <c r="BV62" s="137"/>
      <c r="BW62" s="137"/>
      <c r="BX62" s="137"/>
      <c r="BY62" s="194"/>
      <c r="BZ62" s="184"/>
      <c r="CA62" s="137"/>
      <c r="CB62" s="137"/>
      <c r="CC62" s="137"/>
      <c r="CD62" s="137"/>
      <c r="CE62" s="137"/>
      <c r="CF62" s="137"/>
      <c r="CG62" s="137"/>
      <c r="CH62" s="137"/>
      <c r="CI62" s="137"/>
      <c r="CJ62" s="137"/>
      <c r="CK62" s="194"/>
      <c r="CL62" s="114"/>
    </row>
    <row r="63" spans="1:90" ht="17.25" thickBot="1" x14ac:dyDescent="0.35">
      <c r="A63" s="114"/>
      <c r="B63" s="185" t="s">
        <v>242</v>
      </c>
      <c r="C63" s="195" t="s">
        <v>248</v>
      </c>
      <c r="D63" s="218" t="s">
        <v>236</v>
      </c>
      <c r="E63" s="219" t="s">
        <v>244</v>
      </c>
      <c r="F63" s="195"/>
      <c r="G63" s="195"/>
      <c r="H63" s="195"/>
      <c r="I63" s="195"/>
      <c r="J63" s="195"/>
      <c r="K63" s="195"/>
      <c r="L63" s="195"/>
      <c r="M63" s="195"/>
      <c r="N63" s="195"/>
      <c r="O63" s="195"/>
      <c r="P63" s="195"/>
      <c r="Q63" s="195"/>
      <c r="R63" s="185"/>
      <c r="S63" s="195"/>
      <c r="T63" s="195"/>
      <c r="U63" s="195"/>
      <c r="V63" s="195"/>
      <c r="W63" s="195"/>
      <c r="X63" s="195"/>
      <c r="Y63" s="195"/>
      <c r="Z63" s="195"/>
      <c r="AA63" s="195"/>
      <c r="AB63" s="195"/>
      <c r="AC63" s="196"/>
      <c r="AD63" s="185"/>
      <c r="AE63" s="195"/>
      <c r="AF63" s="195"/>
      <c r="AG63" s="195"/>
      <c r="AH63" s="195"/>
      <c r="AI63" s="195"/>
      <c r="AJ63" s="195"/>
      <c r="AK63" s="195"/>
      <c r="AL63" s="195"/>
      <c r="AM63" s="195"/>
      <c r="AN63" s="195"/>
      <c r="AO63" s="196"/>
      <c r="AP63" s="185"/>
      <c r="AQ63" s="195"/>
      <c r="AR63" s="195"/>
      <c r="AS63" s="195"/>
      <c r="AT63" s="195"/>
      <c r="AU63" s="195"/>
      <c r="AV63" s="195"/>
      <c r="AW63" s="195"/>
      <c r="AX63" s="195"/>
      <c r="AY63" s="195"/>
      <c r="AZ63" s="195"/>
      <c r="BA63" s="196"/>
      <c r="BB63" s="185"/>
      <c r="BC63" s="195"/>
      <c r="BD63" s="195"/>
      <c r="BE63" s="195"/>
      <c r="BF63" s="195"/>
      <c r="BG63" s="195"/>
      <c r="BH63" s="195"/>
      <c r="BI63" s="195"/>
      <c r="BJ63" s="195"/>
      <c r="BK63" s="195"/>
      <c r="BL63" s="195"/>
      <c r="BM63" s="196"/>
      <c r="BN63" s="185"/>
      <c r="BO63" s="195"/>
      <c r="BP63" s="195"/>
      <c r="BQ63" s="195"/>
      <c r="BR63" s="195"/>
      <c r="BS63" s="195"/>
      <c r="BT63" s="195"/>
      <c r="BU63" s="195"/>
      <c r="BV63" s="195"/>
      <c r="BW63" s="195"/>
      <c r="BX63" s="195"/>
      <c r="BY63" s="196"/>
      <c r="BZ63" s="185"/>
      <c r="CA63" s="195"/>
      <c r="CB63" s="195"/>
      <c r="CC63" s="195"/>
      <c r="CD63" s="195"/>
      <c r="CE63" s="195"/>
      <c r="CF63" s="195"/>
      <c r="CG63" s="195"/>
      <c r="CH63" s="195"/>
      <c r="CI63" s="195"/>
      <c r="CJ63" s="195"/>
      <c r="CK63" s="196"/>
      <c r="CL63" s="114"/>
    </row>
    <row r="64" spans="1:90" x14ac:dyDescent="0.3">
      <c r="A64" s="114"/>
      <c r="B64" s="150" t="s">
        <v>249</v>
      </c>
      <c r="C64" s="188">
        <v>1</v>
      </c>
      <c r="D64" s="215" t="s">
        <v>236</v>
      </c>
      <c r="E64" s="216" t="s">
        <v>250</v>
      </c>
      <c r="F64" s="188"/>
      <c r="G64" s="188"/>
      <c r="H64" s="188"/>
      <c r="I64" s="188"/>
      <c r="J64" s="188"/>
      <c r="K64" s="188"/>
      <c r="L64" s="188"/>
      <c r="M64" s="188"/>
      <c r="N64" s="188"/>
      <c r="O64" s="188"/>
      <c r="P64" s="188"/>
      <c r="Q64" s="188"/>
      <c r="R64" s="150"/>
      <c r="S64" s="188"/>
      <c r="T64" s="188"/>
      <c r="U64" s="188"/>
      <c r="V64" s="188"/>
      <c r="W64" s="188"/>
      <c r="X64" s="188"/>
      <c r="Y64" s="188"/>
      <c r="Z64" s="188"/>
      <c r="AA64" s="188"/>
      <c r="AB64" s="188"/>
      <c r="AC64" s="189"/>
      <c r="AD64" s="150"/>
      <c r="AE64" s="188"/>
      <c r="AF64" s="188"/>
      <c r="AG64" s="188"/>
      <c r="AH64" s="188"/>
      <c r="AI64" s="188"/>
      <c r="AJ64" s="188"/>
      <c r="AK64" s="188"/>
      <c r="AL64" s="188"/>
      <c r="AM64" s="188"/>
      <c r="AN64" s="188"/>
      <c r="AO64" s="189"/>
      <c r="AP64" s="150"/>
      <c r="AQ64" s="188"/>
      <c r="AR64" s="188"/>
      <c r="AS64" s="188"/>
      <c r="AT64" s="188"/>
      <c r="AU64" s="188"/>
      <c r="AV64" s="188"/>
      <c r="AW64" s="188"/>
      <c r="AX64" s="188"/>
      <c r="AY64" s="188"/>
      <c r="AZ64" s="188"/>
      <c r="BA64" s="189"/>
      <c r="BB64" s="150"/>
      <c r="BC64" s="188"/>
      <c r="BD64" s="188"/>
      <c r="BE64" s="188"/>
      <c r="BF64" s="188"/>
      <c r="BG64" s="188"/>
      <c r="BH64" s="188"/>
      <c r="BI64" s="188"/>
      <c r="BJ64" s="188"/>
      <c r="BK64" s="188"/>
      <c r="BL64" s="188"/>
      <c r="BM64" s="189"/>
      <c r="BN64" s="150"/>
      <c r="BO64" s="188"/>
      <c r="BP64" s="188"/>
      <c r="BQ64" s="188"/>
      <c r="BR64" s="188"/>
      <c r="BS64" s="188"/>
      <c r="BT64" s="188"/>
      <c r="BU64" s="188"/>
      <c r="BV64" s="188"/>
      <c r="BW64" s="188"/>
      <c r="BX64" s="188"/>
      <c r="BY64" s="189"/>
      <c r="BZ64" s="150"/>
      <c r="CA64" s="188"/>
      <c r="CB64" s="188"/>
      <c r="CC64" s="188"/>
      <c r="CD64" s="188"/>
      <c r="CE64" s="188"/>
      <c r="CF64" s="188"/>
      <c r="CG64" s="188"/>
      <c r="CH64" s="188"/>
      <c r="CI64" s="188"/>
      <c r="CJ64" s="188"/>
      <c r="CK64" s="189"/>
      <c r="CL64" s="114"/>
    </row>
    <row r="65" spans="1:90" ht="17.25" thickBot="1" x14ac:dyDescent="0.35">
      <c r="A65" s="114"/>
      <c r="B65" s="185" t="s">
        <v>249</v>
      </c>
      <c r="C65" s="195">
        <v>2</v>
      </c>
      <c r="D65" s="218" t="s">
        <v>236</v>
      </c>
      <c r="E65" s="219" t="s">
        <v>250</v>
      </c>
      <c r="F65" s="195"/>
      <c r="G65" s="195"/>
      <c r="H65" s="195"/>
      <c r="I65" s="195"/>
      <c r="J65" s="195"/>
      <c r="K65" s="195"/>
      <c r="L65" s="195"/>
      <c r="M65" s="195"/>
      <c r="N65" s="195"/>
      <c r="O65" s="195"/>
      <c r="P65" s="195"/>
      <c r="Q65" s="195"/>
      <c r="R65" s="185"/>
      <c r="S65" s="195"/>
      <c r="T65" s="195"/>
      <c r="U65" s="195"/>
      <c r="V65" s="195"/>
      <c r="W65" s="195"/>
      <c r="X65" s="195"/>
      <c r="Y65" s="195"/>
      <c r="Z65" s="195"/>
      <c r="AA65" s="195"/>
      <c r="AB65" s="195"/>
      <c r="AC65" s="196"/>
      <c r="AD65" s="185"/>
      <c r="AE65" s="195"/>
      <c r="AF65" s="195"/>
      <c r="AG65" s="195"/>
      <c r="AH65" s="195"/>
      <c r="AI65" s="195"/>
      <c r="AJ65" s="195"/>
      <c r="AK65" s="195"/>
      <c r="AL65" s="195"/>
      <c r="AM65" s="195"/>
      <c r="AN65" s="195"/>
      <c r="AO65" s="196"/>
      <c r="AP65" s="185"/>
      <c r="AQ65" s="195"/>
      <c r="AR65" s="195"/>
      <c r="AS65" s="195"/>
      <c r="AT65" s="195"/>
      <c r="AU65" s="195"/>
      <c r="AV65" s="195"/>
      <c r="AW65" s="195"/>
      <c r="AX65" s="195"/>
      <c r="AY65" s="195"/>
      <c r="AZ65" s="195"/>
      <c r="BA65" s="196"/>
      <c r="BB65" s="185"/>
      <c r="BC65" s="195"/>
      <c r="BD65" s="195"/>
      <c r="BE65" s="195"/>
      <c r="BF65" s="195"/>
      <c r="BG65" s="195"/>
      <c r="BH65" s="195"/>
      <c r="BI65" s="195"/>
      <c r="BJ65" s="195"/>
      <c r="BK65" s="195"/>
      <c r="BL65" s="195"/>
      <c r="BM65" s="196"/>
      <c r="BN65" s="185"/>
      <c r="BO65" s="195"/>
      <c r="BP65" s="195"/>
      <c r="BQ65" s="195"/>
      <c r="BR65" s="195"/>
      <c r="BS65" s="195"/>
      <c r="BT65" s="195"/>
      <c r="BU65" s="195"/>
      <c r="BV65" s="195"/>
      <c r="BW65" s="195"/>
      <c r="BX65" s="195"/>
      <c r="BY65" s="196"/>
      <c r="BZ65" s="185"/>
      <c r="CA65" s="195"/>
      <c r="CB65" s="195"/>
      <c r="CC65" s="195"/>
      <c r="CD65" s="195"/>
      <c r="CE65" s="195"/>
      <c r="CF65" s="195"/>
      <c r="CG65" s="195"/>
      <c r="CH65" s="195"/>
      <c r="CI65" s="195"/>
      <c r="CJ65" s="195"/>
      <c r="CK65" s="196"/>
      <c r="CL65" s="114"/>
    </row>
    <row r="66" spans="1:90" x14ac:dyDescent="0.3">
      <c r="A66" s="114"/>
      <c r="B66" s="150" t="s">
        <v>251</v>
      </c>
      <c r="C66" s="188">
        <v>3</v>
      </c>
      <c r="D66" s="215" t="s">
        <v>236</v>
      </c>
      <c r="E66" s="216" t="s">
        <v>250</v>
      </c>
      <c r="F66" s="188"/>
      <c r="G66" s="188"/>
      <c r="H66" s="188"/>
      <c r="I66" s="188"/>
      <c r="J66" s="188"/>
      <c r="K66" s="188"/>
      <c r="L66" s="188"/>
      <c r="M66" s="188"/>
      <c r="N66" s="188"/>
      <c r="O66" s="188"/>
      <c r="P66" s="188"/>
      <c r="Q66" s="188"/>
      <c r="R66" s="150"/>
      <c r="S66" s="188"/>
      <c r="T66" s="188"/>
      <c r="U66" s="188"/>
      <c r="V66" s="188"/>
      <c r="W66" s="188"/>
      <c r="X66" s="188"/>
      <c r="Y66" s="188"/>
      <c r="Z66" s="188"/>
      <c r="AA66" s="188"/>
      <c r="AB66" s="188"/>
      <c r="AC66" s="189"/>
      <c r="AD66" s="150"/>
      <c r="AE66" s="188"/>
      <c r="AF66" s="188"/>
      <c r="AG66" s="188"/>
      <c r="AH66" s="188"/>
      <c r="AI66" s="188"/>
      <c r="AJ66" s="188"/>
      <c r="AK66" s="188"/>
      <c r="AL66" s="188"/>
      <c r="AM66" s="188"/>
      <c r="AN66" s="188"/>
      <c r="AO66" s="189"/>
      <c r="AP66" s="150"/>
      <c r="AQ66" s="188"/>
      <c r="AR66" s="188"/>
      <c r="AS66" s="188"/>
      <c r="AT66" s="188"/>
      <c r="AU66" s="188"/>
      <c r="AV66" s="188"/>
      <c r="AW66" s="188"/>
      <c r="AX66" s="188"/>
      <c r="AY66" s="188"/>
      <c r="AZ66" s="188"/>
      <c r="BA66" s="189"/>
      <c r="BB66" s="150"/>
      <c r="BC66" s="188"/>
      <c r="BD66" s="188"/>
      <c r="BE66" s="188"/>
      <c r="BF66" s="188"/>
      <c r="BG66" s="188"/>
      <c r="BH66" s="188"/>
      <c r="BI66" s="188"/>
      <c r="BJ66" s="188"/>
      <c r="BK66" s="188"/>
      <c r="BL66" s="188"/>
      <c r="BM66" s="189"/>
      <c r="BN66" s="150"/>
      <c r="BO66" s="188"/>
      <c r="BP66" s="188"/>
      <c r="BQ66" s="188"/>
      <c r="BR66" s="188"/>
      <c r="BS66" s="188"/>
      <c r="BT66" s="188"/>
      <c r="BU66" s="188"/>
      <c r="BV66" s="188"/>
      <c r="BW66" s="188"/>
      <c r="BX66" s="188"/>
      <c r="BY66" s="189"/>
      <c r="BZ66" s="150"/>
      <c r="CA66" s="188"/>
      <c r="CB66" s="188"/>
      <c r="CC66" s="188"/>
      <c r="CD66" s="188"/>
      <c r="CE66" s="188"/>
      <c r="CF66" s="188"/>
      <c r="CG66" s="188"/>
      <c r="CH66" s="188"/>
      <c r="CI66" s="188"/>
      <c r="CJ66" s="188"/>
      <c r="CK66" s="189"/>
      <c r="CL66" s="114"/>
    </row>
    <row r="67" spans="1:90" ht="17.25" thickBot="1" x14ac:dyDescent="0.35">
      <c r="A67" s="114"/>
      <c r="B67" s="185" t="s">
        <v>251</v>
      </c>
      <c r="C67" s="195">
        <v>4</v>
      </c>
      <c r="D67" s="218" t="s">
        <v>236</v>
      </c>
      <c r="E67" s="219" t="s">
        <v>250</v>
      </c>
      <c r="F67" s="195"/>
      <c r="G67" s="195"/>
      <c r="H67" s="195"/>
      <c r="I67" s="195"/>
      <c r="J67" s="195"/>
      <c r="K67" s="195"/>
      <c r="L67" s="195"/>
      <c r="M67" s="195"/>
      <c r="N67" s="195"/>
      <c r="O67" s="195"/>
      <c r="P67" s="195"/>
      <c r="Q67" s="195"/>
      <c r="R67" s="185"/>
      <c r="S67" s="195"/>
      <c r="T67" s="195"/>
      <c r="U67" s="195"/>
      <c r="V67" s="195"/>
      <c r="W67" s="195"/>
      <c r="X67" s="195"/>
      <c r="Y67" s="195"/>
      <c r="Z67" s="195"/>
      <c r="AA67" s="195"/>
      <c r="AB67" s="195"/>
      <c r="AC67" s="196"/>
      <c r="AD67" s="185"/>
      <c r="AE67" s="195"/>
      <c r="AF67" s="195"/>
      <c r="AG67" s="195"/>
      <c r="AH67" s="195"/>
      <c r="AI67" s="195"/>
      <c r="AJ67" s="195"/>
      <c r="AK67" s="195"/>
      <c r="AL67" s="195"/>
      <c r="AM67" s="195"/>
      <c r="AN67" s="195"/>
      <c r="AO67" s="196"/>
      <c r="AP67" s="185"/>
      <c r="AQ67" s="195"/>
      <c r="AR67" s="195"/>
      <c r="AS67" s="195"/>
      <c r="AT67" s="195"/>
      <c r="AU67" s="195"/>
      <c r="AV67" s="195"/>
      <c r="AW67" s="195"/>
      <c r="AX67" s="195"/>
      <c r="AY67" s="195"/>
      <c r="AZ67" s="195"/>
      <c r="BA67" s="196"/>
      <c r="BB67" s="185"/>
      <c r="BC67" s="195"/>
      <c r="BD67" s="195"/>
      <c r="BE67" s="195"/>
      <c r="BF67" s="195"/>
      <c r="BG67" s="195"/>
      <c r="BH67" s="195"/>
      <c r="BI67" s="195"/>
      <c r="BJ67" s="195"/>
      <c r="BK67" s="195"/>
      <c r="BL67" s="195"/>
      <c r="BM67" s="196"/>
      <c r="BN67" s="185"/>
      <c r="BO67" s="195"/>
      <c r="BP67" s="195"/>
      <c r="BQ67" s="195"/>
      <c r="BR67" s="195"/>
      <c r="BS67" s="195"/>
      <c r="BT67" s="195"/>
      <c r="BU67" s="195"/>
      <c r="BV67" s="195"/>
      <c r="BW67" s="195"/>
      <c r="BX67" s="195"/>
      <c r="BY67" s="196"/>
      <c r="BZ67" s="185"/>
      <c r="CA67" s="195"/>
      <c r="CB67" s="195"/>
      <c r="CC67" s="195"/>
      <c r="CD67" s="195"/>
      <c r="CE67" s="195"/>
      <c r="CF67" s="195"/>
      <c r="CG67" s="195"/>
      <c r="CH67" s="195"/>
      <c r="CI67" s="195"/>
      <c r="CJ67" s="195"/>
      <c r="CK67" s="196"/>
      <c r="CL67" s="114"/>
    </row>
    <row r="68" spans="1:90" x14ac:dyDescent="0.3">
      <c r="A68" s="114"/>
      <c r="B68" s="150" t="s">
        <v>252</v>
      </c>
      <c r="C68" s="188">
        <v>1</v>
      </c>
      <c r="D68" s="215" t="s">
        <v>236</v>
      </c>
      <c r="E68" s="216" t="s">
        <v>250</v>
      </c>
      <c r="F68" s="188"/>
      <c r="G68" s="188"/>
      <c r="H68" s="188"/>
      <c r="I68" s="188"/>
      <c r="J68" s="188"/>
      <c r="K68" s="188"/>
      <c r="L68" s="188"/>
      <c r="M68" s="188"/>
      <c r="N68" s="188"/>
      <c r="O68" s="188"/>
      <c r="P68" s="188"/>
      <c r="Q68" s="188"/>
      <c r="R68" s="150"/>
      <c r="S68" s="188"/>
      <c r="T68" s="188"/>
      <c r="U68" s="188"/>
      <c r="V68" s="188"/>
      <c r="W68" s="188"/>
      <c r="X68" s="188"/>
      <c r="Y68" s="188"/>
      <c r="Z68" s="188"/>
      <c r="AA68" s="188"/>
      <c r="AB68" s="188"/>
      <c r="AC68" s="189"/>
      <c r="AD68" s="150"/>
      <c r="AE68" s="188"/>
      <c r="AF68" s="188"/>
      <c r="AG68" s="188"/>
      <c r="AH68" s="188"/>
      <c r="AI68" s="188"/>
      <c r="AJ68" s="188"/>
      <c r="AK68" s="188"/>
      <c r="AL68" s="188"/>
      <c r="AM68" s="188"/>
      <c r="AN68" s="188"/>
      <c r="AO68" s="189"/>
      <c r="AP68" s="150"/>
      <c r="AQ68" s="188"/>
      <c r="AR68" s="188"/>
      <c r="AS68" s="188"/>
      <c r="AT68" s="188"/>
      <c r="AU68" s="188"/>
      <c r="AV68" s="188"/>
      <c r="AW68" s="188"/>
      <c r="AX68" s="188"/>
      <c r="AY68" s="188"/>
      <c r="AZ68" s="188"/>
      <c r="BA68" s="189"/>
      <c r="BB68" s="150"/>
      <c r="BC68" s="188"/>
      <c r="BD68" s="188"/>
      <c r="BE68" s="188"/>
      <c r="BF68" s="188"/>
      <c r="BG68" s="188"/>
      <c r="BH68" s="188"/>
      <c r="BI68" s="188"/>
      <c r="BJ68" s="188"/>
      <c r="BK68" s="188"/>
      <c r="BL68" s="188"/>
      <c r="BM68" s="189"/>
      <c r="BN68" s="150"/>
      <c r="BO68" s="188"/>
      <c r="BP68" s="188"/>
      <c r="BQ68" s="188"/>
      <c r="BR68" s="188"/>
      <c r="BS68" s="188"/>
      <c r="BT68" s="188"/>
      <c r="BU68" s="188"/>
      <c r="BV68" s="188"/>
      <c r="BW68" s="188"/>
      <c r="BX68" s="188"/>
      <c r="BY68" s="189"/>
      <c r="BZ68" s="150"/>
      <c r="CA68" s="188"/>
      <c r="CB68" s="188"/>
      <c r="CC68" s="188"/>
      <c r="CD68" s="188"/>
      <c r="CE68" s="188"/>
      <c r="CF68" s="188"/>
      <c r="CG68" s="188"/>
      <c r="CH68" s="188"/>
      <c r="CI68" s="188"/>
      <c r="CJ68" s="188"/>
      <c r="CK68" s="189"/>
      <c r="CL68" s="114"/>
    </row>
    <row r="69" spans="1:90" x14ac:dyDescent="0.3">
      <c r="A69" s="114"/>
      <c r="B69" s="184" t="s">
        <v>252</v>
      </c>
      <c r="C69" s="137">
        <v>2</v>
      </c>
      <c r="D69" s="208" t="s">
        <v>236</v>
      </c>
      <c r="E69" s="213" t="s">
        <v>250</v>
      </c>
      <c r="F69" s="137"/>
      <c r="G69" s="137"/>
      <c r="H69" s="137"/>
      <c r="I69" s="137"/>
      <c r="J69" s="137"/>
      <c r="K69" s="137"/>
      <c r="L69" s="137"/>
      <c r="M69" s="137"/>
      <c r="N69" s="137"/>
      <c r="O69" s="137"/>
      <c r="P69" s="137"/>
      <c r="Q69" s="137"/>
      <c r="R69" s="184"/>
      <c r="S69" s="137"/>
      <c r="T69" s="137"/>
      <c r="U69" s="137"/>
      <c r="V69" s="137"/>
      <c r="W69" s="137"/>
      <c r="X69" s="137"/>
      <c r="Y69" s="137"/>
      <c r="Z69" s="137"/>
      <c r="AA69" s="137"/>
      <c r="AB69" s="137"/>
      <c r="AC69" s="194"/>
      <c r="AD69" s="184"/>
      <c r="AE69" s="137"/>
      <c r="AF69" s="137"/>
      <c r="AG69" s="137"/>
      <c r="AH69" s="137"/>
      <c r="AI69" s="137"/>
      <c r="AJ69" s="137"/>
      <c r="AK69" s="137"/>
      <c r="AL69" s="137"/>
      <c r="AM69" s="137"/>
      <c r="AN69" s="137"/>
      <c r="AO69" s="194"/>
      <c r="AP69" s="184"/>
      <c r="AQ69" s="137"/>
      <c r="AR69" s="137"/>
      <c r="AS69" s="137"/>
      <c r="AT69" s="137"/>
      <c r="AU69" s="137"/>
      <c r="AV69" s="137"/>
      <c r="AW69" s="137"/>
      <c r="AX69" s="137"/>
      <c r="AY69" s="137"/>
      <c r="AZ69" s="137"/>
      <c r="BA69" s="194"/>
      <c r="BB69" s="184"/>
      <c r="BC69" s="137"/>
      <c r="BD69" s="137"/>
      <c r="BE69" s="137"/>
      <c r="BF69" s="137"/>
      <c r="BG69" s="137"/>
      <c r="BH69" s="137"/>
      <c r="BI69" s="137"/>
      <c r="BJ69" s="137"/>
      <c r="BK69" s="137"/>
      <c r="BL69" s="137"/>
      <c r="BM69" s="194"/>
      <c r="BN69" s="184"/>
      <c r="BO69" s="137"/>
      <c r="BP69" s="137"/>
      <c r="BQ69" s="137"/>
      <c r="BR69" s="137"/>
      <c r="BS69" s="137"/>
      <c r="BT69" s="137"/>
      <c r="BU69" s="137"/>
      <c r="BV69" s="137"/>
      <c r="BW69" s="137"/>
      <c r="BX69" s="137"/>
      <c r="BY69" s="194"/>
      <c r="BZ69" s="184"/>
      <c r="CA69" s="137"/>
      <c r="CB69" s="137"/>
      <c r="CC69" s="137"/>
      <c r="CD69" s="137"/>
      <c r="CE69" s="137"/>
      <c r="CF69" s="137"/>
      <c r="CG69" s="137"/>
      <c r="CH69" s="137"/>
      <c r="CI69" s="137"/>
      <c r="CJ69" s="137"/>
      <c r="CK69" s="194"/>
      <c r="CL69" s="114"/>
    </row>
    <row r="70" spans="1:90" x14ac:dyDescent="0.3">
      <c r="A70" s="114"/>
      <c r="B70" s="184" t="s">
        <v>252</v>
      </c>
      <c r="C70" s="137">
        <v>3</v>
      </c>
      <c r="D70" s="208" t="s">
        <v>236</v>
      </c>
      <c r="E70" s="213" t="s">
        <v>250</v>
      </c>
      <c r="F70" s="137"/>
      <c r="G70" s="137"/>
      <c r="H70" s="137"/>
      <c r="I70" s="137"/>
      <c r="J70" s="137"/>
      <c r="K70" s="137"/>
      <c r="L70" s="137"/>
      <c r="M70" s="137"/>
      <c r="N70" s="137"/>
      <c r="O70" s="137"/>
      <c r="P70" s="137"/>
      <c r="Q70" s="137"/>
      <c r="R70" s="184"/>
      <c r="S70" s="137"/>
      <c r="T70" s="137"/>
      <c r="U70" s="137"/>
      <c r="V70" s="137"/>
      <c r="W70" s="137"/>
      <c r="X70" s="137"/>
      <c r="Y70" s="137"/>
      <c r="Z70" s="137"/>
      <c r="AA70" s="137"/>
      <c r="AB70" s="137"/>
      <c r="AC70" s="194"/>
      <c r="AD70" s="184"/>
      <c r="AE70" s="137"/>
      <c r="AF70" s="137"/>
      <c r="AG70" s="137"/>
      <c r="AH70" s="137"/>
      <c r="AI70" s="137"/>
      <c r="AJ70" s="137"/>
      <c r="AK70" s="137"/>
      <c r="AL70" s="137"/>
      <c r="AM70" s="137"/>
      <c r="AN70" s="137"/>
      <c r="AO70" s="194"/>
      <c r="AP70" s="184"/>
      <c r="AQ70" s="137"/>
      <c r="AR70" s="137"/>
      <c r="AS70" s="137"/>
      <c r="AT70" s="137"/>
      <c r="AU70" s="137"/>
      <c r="AV70" s="137"/>
      <c r="AW70" s="137"/>
      <c r="AX70" s="137"/>
      <c r="AY70" s="137"/>
      <c r="AZ70" s="137"/>
      <c r="BA70" s="194"/>
      <c r="BB70" s="184"/>
      <c r="BC70" s="137"/>
      <c r="BD70" s="137"/>
      <c r="BE70" s="137"/>
      <c r="BF70" s="137"/>
      <c r="BG70" s="137"/>
      <c r="BH70" s="137"/>
      <c r="BI70" s="137"/>
      <c r="BJ70" s="137"/>
      <c r="BK70" s="137"/>
      <c r="BL70" s="137"/>
      <c r="BM70" s="194"/>
      <c r="BN70" s="184"/>
      <c r="BO70" s="137"/>
      <c r="BP70" s="137"/>
      <c r="BQ70" s="137"/>
      <c r="BR70" s="137"/>
      <c r="BS70" s="137"/>
      <c r="BT70" s="137"/>
      <c r="BU70" s="137"/>
      <c r="BV70" s="137"/>
      <c r="BW70" s="137"/>
      <c r="BX70" s="137"/>
      <c r="BY70" s="194"/>
      <c r="BZ70" s="184"/>
      <c r="CA70" s="137"/>
      <c r="CB70" s="137"/>
      <c r="CC70" s="137"/>
      <c r="CD70" s="137"/>
      <c r="CE70" s="137"/>
      <c r="CF70" s="137"/>
      <c r="CG70" s="137"/>
      <c r="CH70" s="137"/>
      <c r="CI70" s="137"/>
      <c r="CJ70" s="137"/>
      <c r="CK70" s="194"/>
      <c r="CL70" s="114"/>
    </row>
    <row r="71" spans="1:90" x14ac:dyDescent="0.3">
      <c r="A71" s="114"/>
      <c r="B71" s="184" t="s">
        <v>252</v>
      </c>
      <c r="C71" s="137">
        <v>4</v>
      </c>
      <c r="D71" s="208" t="s">
        <v>236</v>
      </c>
      <c r="E71" s="213" t="s">
        <v>250</v>
      </c>
      <c r="F71" s="137"/>
      <c r="G71" s="137"/>
      <c r="H71" s="137"/>
      <c r="I71" s="137"/>
      <c r="J71" s="137"/>
      <c r="K71" s="137"/>
      <c r="L71" s="137"/>
      <c r="M71" s="137"/>
      <c r="N71" s="137"/>
      <c r="O71" s="137"/>
      <c r="P71" s="137"/>
      <c r="Q71" s="137"/>
      <c r="R71" s="184"/>
      <c r="S71" s="137"/>
      <c r="T71" s="137"/>
      <c r="U71" s="137"/>
      <c r="V71" s="137"/>
      <c r="W71" s="137"/>
      <c r="X71" s="137"/>
      <c r="Y71" s="137"/>
      <c r="Z71" s="137"/>
      <c r="AA71" s="137"/>
      <c r="AB71" s="137"/>
      <c r="AC71" s="194"/>
      <c r="AD71" s="184"/>
      <c r="AE71" s="137"/>
      <c r="AF71" s="137"/>
      <c r="AG71" s="137"/>
      <c r="AH71" s="137"/>
      <c r="AI71" s="137"/>
      <c r="AJ71" s="137"/>
      <c r="AK71" s="137"/>
      <c r="AL71" s="137"/>
      <c r="AM71" s="137"/>
      <c r="AN71" s="137"/>
      <c r="AO71" s="194"/>
      <c r="AP71" s="184"/>
      <c r="AQ71" s="137"/>
      <c r="AR71" s="137"/>
      <c r="AS71" s="137"/>
      <c r="AT71" s="137"/>
      <c r="AU71" s="137"/>
      <c r="AV71" s="137"/>
      <c r="AW71" s="137"/>
      <c r="AX71" s="137"/>
      <c r="AY71" s="137"/>
      <c r="AZ71" s="137"/>
      <c r="BA71" s="194"/>
      <c r="BB71" s="184"/>
      <c r="BC71" s="137"/>
      <c r="BD71" s="137"/>
      <c r="BE71" s="137"/>
      <c r="BF71" s="137"/>
      <c r="BG71" s="137"/>
      <c r="BH71" s="137"/>
      <c r="BI71" s="137"/>
      <c r="BJ71" s="137"/>
      <c r="BK71" s="137"/>
      <c r="BL71" s="137"/>
      <c r="BM71" s="194"/>
      <c r="BN71" s="184"/>
      <c r="BO71" s="137"/>
      <c r="BP71" s="137"/>
      <c r="BQ71" s="137"/>
      <c r="BR71" s="137"/>
      <c r="BS71" s="137"/>
      <c r="BT71" s="137"/>
      <c r="BU71" s="137"/>
      <c r="BV71" s="137"/>
      <c r="BW71" s="137"/>
      <c r="BX71" s="137"/>
      <c r="BY71" s="194"/>
      <c r="BZ71" s="184"/>
      <c r="CA71" s="137"/>
      <c r="CB71" s="137"/>
      <c r="CC71" s="137"/>
      <c r="CD71" s="137"/>
      <c r="CE71" s="137"/>
      <c r="CF71" s="137"/>
      <c r="CG71" s="137"/>
      <c r="CH71" s="137"/>
      <c r="CI71" s="137"/>
      <c r="CJ71" s="137"/>
      <c r="CK71" s="194"/>
      <c r="CL71" s="114"/>
    </row>
    <row r="72" spans="1:90" x14ac:dyDescent="0.3">
      <c r="A72" s="114"/>
      <c r="B72" s="184" t="s">
        <v>252</v>
      </c>
      <c r="C72" s="137">
        <v>5</v>
      </c>
      <c r="D72" s="208" t="s">
        <v>236</v>
      </c>
      <c r="E72" s="213" t="s">
        <v>250</v>
      </c>
      <c r="F72" s="137"/>
      <c r="G72" s="137"/>
      <c r="H72" s="137"/>
      <c r="I72" s="137"/>
      <c r="J72" s="137"/>
      <c r="K72" s="137"/>
      <c r="L72" s="137"/>
      <c r="M72" s="137"/>
      <c r="N72" s="137"/>
      <c r="O72" s="137"/>
      <c r="P72" s="137"/>
      <c r="Q72" s="137"/>
      <c r="R72" s="184"/>
      <c r="S72" s="137"/>
      <c r="T72" s="137"/>
      <c r="U72" s="137"/>
      <c r="V72" s="137"/>
      <c r="W72" s="137"/>
      <c r="X72" s="137"/>
      <c r="Y72" s="137"/>
      <c r="Z72" s="197"/>
      <c r="AA72" s="197"/>
      <c r="AB72" s="197"/>
      <c r="AC72" s="194"/>
      <c r="AD72" s="184"/>
      <c r="AE72" s="137"/>
      <c r="AF72" s="197"/>
      <c r="AG72" s="197"/>
      <c r="AH72" s="197"/>
      <c r="AI72" s="197"/>
      <c r="AJ72" s="197"/>
      <c r="AK72" s="197"/>
      <c r="AL72" s="137"/>
      <c r="AM72" s="137"/>
      <c r="AN72" s="137"/>
      <c r="AO72" s="194"/>
      <c r="AP72" s="184"/>
      <c r="AQ72" s="137"/>
      <c r="AR72" s="137"/>
      <c r="AS72" s="137"/>
      <c r="AT72" s="137"/>
      <c r="AU72" s="137"/>
      <c r="AV72" s="137"/>
      <c r="AW72" s="137"/>
      <c r="AX72" s="137"/>
      <c r="AY72" s="137"/>
      <c r="AZ72" s="137"/>
      <c r="BA72" s="194"/>
      <c r="BB72" s="184"/>
      <c r="BC72" s="137"/>
      <c r="BD72" s="137"/>
      <c r="BE72" s="137"/>
      <c r="BF72" s="137"/>
      <c r="BG72" s="137"/>
      <c r="BH72" s="137"/>
      <c r="BI72" s="137"/>
      <c r="BJ72" s="137"/>
      <c r="BK72" s="137"/>
      <c r="BL72" s="137"/>
      <c r="BM72" s="194"/>
      <c r="BN72" s="184"/>
      <c r="BO72" s="137"/>
      <c r="BP72" s="137"/>
      <c r="BQ72" s="137"/>
      <c r="BR72" s="137"/>
      <c r="BS72" s="137"/>
      <c r="BT72" s="137"/>
      <c r="BU72" s="137"/>
      <c r="BV72" s="137"/>
      <c r="BW72" s="137"/>
      <c r="BX72" s="137"/>
      <c r="BY72" s="194"/>
      <c r="BZ72" s="184"/>
      <c r="CA72" s="137"/>
      <c r="CB72" s="137"/>
      <c r="CC72" s="137"/>
      <c r="CD72" s="137"/>
      <c r="CE72" s="137"/>
      <c r="CF72" s="137"/>
      <c r="CG72" s="137"/>
      <c r="CH72" s="137"/>
      <c r="CI72" s="137"/>
      <c r="CJ72" s="137"/>
      <c r="CK72" s="194"/>
      <c r="CL72" s="114"/>
    </row>
    <row r="73" spans="1:90" x14ac:dyDescent="0.3">
      <c r="A73" s="114"/>
      <c r="B73" s="184" t="s">
        <v>252</v>
      </c>
      <c r="C73" s="137">
        <v>6</v>
      </c>
      <c r="D73" s="208" t="s">
        <v>236</v>
      </c>
      <c r="E73" s="213" t="s">
        <v>250</v>
      </c>
      <c r="F73" s="137"/>
      <c r="G73" s="137"/>
      <c r="H73" s="137"/>
      <c r="I73" s="137"/>
      <c r="J73" s="137"/>
      <c r="K73" s="137"/>
      <c r="L73" s="137"/>
      <c r="M73" s="137"/>
      <c r="N73" s="137"/>
      <c r="O73" s="137"/>
      <c r="P73" s="137"/>
      <c r="Q73" s="137"/>
      <c r="R73" s="184"/>
      <c r="S73" s="137"/>
      <c r="T73" s="137"/>
      <c r="U73" s="137"/>
      <c r="V73" s="137"/>
      <c r="W73" s="137"/>
      <c r="X73" s="137"/>
      <c r="Y73" s="137"/>
      <c r="Z73" s="137"/>
      <c r="AA73" s="137"/>
      <c r="AB73" s="137"/>
      <c r="AC73" s="194"/>
      <c r="AD73" s="184"/>
      <c r="AE73" s="137"/>
      <c r="AF73" s="137"/>
      <c r="AG73" s="137"/>
      <c r="AH73" s="137"/>
      <c r="AI73" s="137"/>
      <c r="AJ73" s="137"/>
      <c r="AK73" s="137"/>
      <c r="AL73" s="137"/>
      <c r="AM73" s="137"/>
      <c r="AN73" s="137"/>
      <c r="AO73" s="194"/>
      <c r="AP73" s="184"/>
      <c r="AQ73" s="137"/>
      <c r="AR73" s="137"/>
      <c r="AS73" s="137"/>
      <c r="AT73" s="137"/>
      <c r="AU73" s="137"/>
      <c r="AV73" s="137"/>
      <c r="AW73" s="137"/>
      <c r="AX73" s="137"/>
      <c r="AY73" s="137"/>
      <c r="AZ73" s="137"/>
      <c r="BA73" s="194"/>
      <c r="BB73" s="184"/>
      <c r="BC73" s="137"/>
      <c r="BD73" s="137"/>
      <c r="BE73" s="137"/>
      <c r="BF73" s="137"/>
      <c r="BG73" s="137"/>
      <c r="BH73" s="137"/>
      <c r="BI73" s="137"/>
      <c r="BJ73" s="137"/>
      <c r="BK73" s="137"/>
      <c r="BL73" s="137"/>
      <c r="BM73" s="194"/>
      <c r="BN73" s="184"/>
      <c r="BO73" s="137"/>
      <c r="BP73" s="137"/>
      <c r="BQ73" s="137"/>
      <c r="BR73" s="137"/>
      <c r="BS73" s="137"/>
      <c r="BT73" s="137"/>
      <c r="BU73" s="137"/>
      <c r="BV73" s="137"/>
      <c r="BW73" s="137"/>
      <c r="BX73" s="137"/>
      <c r="BY73" s="194"/>
      <c r="BZ73" s="184"/>
      <c r="CA73" s="137"/>
      <c r="CB73" s="137"/>
      <c r="CC73" s="137"/>
      <c r="CD73" s="137"/>
      <c r="CE73" s="137"/>
      <c r="CF73" s="137"/>
      <c r="CG73" s="137"/>
      <c r="CH73" s="137"/>
      <c r="CI73" s="137"/>
      <c r="CJ73" s="137"/>
      <c r="CK73" s="194"/>
      <c r="CL73" s="114"/>
    </row>
    <row r="74" spans="1:90" x14ac:dyDescent="0.3">
      <c r="A74" s="114"/>
      <c r="B74" s="184" t="s">
        <v>252</v>
      </c>
      <c r="C74" s="137">
        <v>7</v>
      </c>
      <c r="D74" s="208" t="s">
        <v>236</v>
      </c>
      <c r="E74" s="213" t="s">
        <v>250</v>
      </c>
      <c r="F74" s="137"/>
      <c r="G74" s="137"/>
      <c r="H74" s="137"/>
      <c r="I74" s="137"/>
      <c r="J74" s="137"/>
      <c r="K74" s="137"/>
      <c r="L74" s="137"/>
      <c r="M74" s="137"/>
      <c r="N74" s="137"/>
      <c r="O74" s="137"/>
      <c r="P74" s="137"/>
      <c r="Q74" s="137"/>
      <c r="R74" s="184"/>
      <c r="S74" s="137"/>
      <c r="T74" s="137"/>
      <c r="U74" s="137"/>
      <c r="V74" s="137"/>
      <c r="W74" s="137"/>
      <c r="X74" s="137"/>
      <c r="Y74" s="137"/>
      <c r="Z74" s="137"/>
      <c r="AA74" s="137"/>
      <c r="AB74" s="137"/>
      <c r="AC74" s="194"/>
      <c r="AD74" s="184"/>
      <c r="AE74" s="137"/>
      <c r="AF74" s="137"/>
      <c r="AG74" s="137"/>
      <c r="AH74" s="137"/>
      <c r="AI74" s="137"/>
      <c r="AJ74" s="137"/>
      <c r="AK74" s="137"/>
      <c r="AL74" s="137"/>
      <c r="AM74" s="137"/>
      <c r="AN74" s="137"/>
      <c r="AO74" s="194"/>
      <c r="AP74" s="184"/>
      <c r="AQ74" s="137"/>
      <c r="AR74" s="137"/>
      <c r="AS74" s="137"/>
      <c r="AT74" s="137"/>
      <c r="AU74" s="137"/>
      <c r="AV74" s="137"/>
      <c r="AW74" s="137"/>
      <c r="AX74" s="137"/>
      <c r="AY74" s="137"/>
      <c r="AZ74" s="137"/>
      <c r="BA74" s="194"/>
      <c r="BB74" s="184"/>
      <c r="BC74" s="137"/>
      <c r="BD74" s="137"/>
      <c r="BE74" s="137"/>
      <c r="BF74" s="137"/>
      <c r="BG74" s="137"/>
      <c r="BH74" s="137"/>
      <c r="BI74" s="137"/>
      <c r="BJ74" s="137"/>
      <c r="BK74" s="137"/>
      <c r="BL74" s="137"/>
      <c r="BM74" s="194"/>
      <c r="BN74" s="184"/>
      <c r="BO74" s="137"/>
      <c r="BP74" s="137"/>
      <c r="BQ74" s="137"/>
      <c r="BR74" s="137"/>
      <c r="BS74" s="137"/>
      <c r="BT74" s="137"/>
      <c r="BU74" s="137"/>
      <c r="BV74" s="137"/>
      <c r="BW74" s="137"/>
      <c r="BX74" s="137"/>
      <c r="BY74" s="194"/>
      <c r="BZ74" s="184"/>
      <c r="CA74" s="137"/>
      <c r="CB74" s="137"/>
      <c r="CC74" s="137"/>
      <c r="CD74" s="137"/>
      <c r="CE74" s="137"/>
      <c r="CF74" s="137"/>
      <c r="CG74" s="137"/>
      <c r="CH74" s="137"/>
      <c r="CI74" s="137"/>
      <c r="CJ74" s="137"/>
      <c r="CK74" s="194"/>
      <c r="CL74" s="114"/>
    </row>
    <row r="75" spans="1:90" x14ac:dyDescent="0.3">
      <c r="A75" s="114"/>
      <c r="B75" s="184" t="s">
        <v>252</v>
      </c>
      <c r="C75" s="137">
        <v>8</v>
      </c>
      <c r="D75" s="208" t="s">
        <v>236</v>
      </c>
      <c r="E75" s="213" t="s">
        <v>250</v>
      </c>
      <c r="F75" s="137"/>
      <c r="G75" s="137"/>
      <c r="H75" s="137"/>
      <c r="I75" s="137"/>
      <c r="J75" s="137"/>
      <c r="K75" s="137"/>
      <c r="L75" s="137"/>
      <c r="M75" s="137"/>
      <c r="N75" s="137"/>
      <c r="O75" s="137"/>
      <c r="P75" s="137"/>
      <c r="Q75" s="137"/>
      <c r="R75" s="184"/>
      <c r="S75" s="137"/>
      <c r="T75" s="137"/>
      <c r="U75" s="137"/>
      <c r="V75" s="137"/>
      <c r="W75" s="137"/>
      <c r="X75" s="137"/>
      <c r="Y75" s="137"/>
      <c r="Z75" s="137"/>
      <c r="AA75" s="137"/>
      <c r="AB75" s="137"/>
      <c r="AC75" s="194"/>
      <c r="AD75" s="184"/>
      <c r="AE75" s="137"/>
      <c r="AF75" s="137"/>
      <c r="AG75" s="137"/>
      <c r="AH75" s="137"/>
      <c r="AI75" s="137"/>
      <c r="AJ75" s="137"/>
      <c r="AK75" s="137"/>
      <c r="AL75" s="137"/>
      <c r="AM75" s="137"/>
      <c r="AN75" s="137"/>
      <c r="AO75" s="194"/>
      <c r="AP75" s="184"/>
      <c r="AQ75" s="137"/>
      <c r="AR75" s="137"/>
      <c r="AS75" s="137"/>
      <c r="AT75" s="137"/>
      <c r="AU75" s="137"/>
      <c r="AV75" s="137"/>
      <c r="AW75" s="137"/>
      <c r="AX75" s="137"/>
      <c r="AY75" s="137"/>
      <c r="AZ75" s="137"/>
      <c r="BA75" s="194"/>
      <c r="BB75" s="184"/>
      <c r="BC75" s="137"/>
      <c r="BD75" s="137"/>
      <c r="BE75" s="137"/>
      <c r="BF75" s="137"/>
      <c r="BG75" s="137"/>
      <c r="BH75" s="137"/>
      <c r="BI75" s="137"/>
      <c r="BJ75" s="137"/>
      <c r="BK75" s="137"/>
      <c r="BL75" s="137"/>
      <c r="BM75" s="194"/>
      <c r="BN75" s="184"/>
      <c r="BO75" s="137"/>
      <c r="BP75" s="137"/>
      <c r="BQ75" s="137"/>
      <c r="BR75" s="137"/>
      <c r="BS75" s="137"/>
      <c r="BT75" s="137"/>
      <c r="BU75" s="137"/>
      <c r="BV75" s="137"/>
      <c r="BW75" s="137"/>
      <c r="BX75" s="137"/>
      <c r="BY75" s="194"/>
      <c r="BZ75" s="184"/>
      <c r="CA75" s="137"/>
      <c r="CB75" s="137"/>
      <c r="CC75" s="137"/>
      <c r="CD75" s="137"/>
      <c r="CE75" s="137"/>
      <c r="CF75" s="137"/>
      <c r="CG75" s="137"/>
      <c r="CH75" s="137"/>
      <c r="CI75" s="137"/>
      <c r="CJ75" s="137"/>
      <c r="CK75" s="194"/>
      <c r="CL75" s="114"/>
    </row>
    <row r="76" spans="1:90" x14ac:dyDescent="0.3">
      <c r="A76" s="114"/>
      <c r="B76" s="184" t="s">
        <v>252</v>
      </c>
      <c r="C76" s="137">
        <v>9</v>
      </c>
      <c r="D76" s="208" t="s">
        <v>236</v>
      </c>
      <c r="E76" s="213" t="s">
        <v>250</v>
      </c>
      <c r="F76" s="137"/>
      <c r="G76" s="137"/>
      <c r="H76" s="137"/>
      <c r="I76" s="137"/>
      <c r="J76" s="137"/>
      <c r="K76" s="137"/>
      <c r="L76" s="137"/>
      <c r="M76" s="137"/>
      <c r="N76" s="137"/>
      <c r="O76" s="137"/>
      <c r="P76" s="137"/>
      <c r="Q76" s="137"/>
      <c r="R76" s="184"/>
      <c r="S76" s="137"/>
      <c r="T76" s="137"/>
      <c r="U76" s="137"/>
      <c r="V76" s="137"/>
      <c r="W76" s="137"/>
      <c r="X76" s="137"/>
      <c r="Y76" s="137"/>
      <c r="Z76" s="137"/>
      <c r="AA76" s="137"/>
      <c r="AB76" s="137"/>
      <c r="AC76" s="194"/>
      <c r="AD76" s="184"/>
      <c r="AE76" s="137"/>
      <c r="AF76" s="137"/>
      <c r="AG76" s="137"/>
      <c r="AH76" s="137"/>
      <c r="AI76" s="137"/>
      <c r="AJ76" s="137"/>
      <c r="AK76" s="137"/>
      <c r="AL76" s="137"/>
      <c r="AM76" s="137"/>
      <c r="AN76" s="137"/>
      <c r="AO76" s="194"/>
      <c r="AP76" s="184"/>
      <c r="AQ76" s="137"/>
      <c r="AR76" s="137"/>
      <c r="AS76" s="137"/>
      <c r="AT76" s="137"/>
      <c r="AU76" s="137"/>
      <c r="AV76" s="137"/>
      <c r="AW76" s="137"/>
      <c r="AX76" s="137"/>
      <c r="AY76" s="137"/>
      <c r="AZ76" s="137"/>
      <c r="BA76" s="194"/>
      <c r="BB76" s="184"/>
      <c r="BC76" s="137"/>
      <c r="BD76" s="137"/>
      <c r="BE76" s="137"/>
      <c r="BF76" s="137"/>
      <c r="BG76" s="137"/>
      <c r="BH76" s="137"/>
      <c r="BI76" s="137"/>
      <c r="BJ76" s="137"/>
      <c r="BK76" s="137"/>
      <c r="BL76" s="137"/>
      <c r="BM76" s="194"/>
      <c r="BN76" s="184"/>
      <c r="BO76" s="137"/>
      <c r="BP76" s="137"/>
      <c r="BQ76" s="137"/>
      <c r="BR76" s="137"/>
      <c r="BS76" s="137"/>
      <c r="BT76" s="137"/>
      <c r="BU76" s="137"/>
      <c r="BV76" s="137"/>
      <c r="BW76" s="137"/>
      <c r="BX76" s="137"/>
      <c r="BY76" s="194"/>
      <c r="BZ76" s="184"/>
      <c r="CA76" s="137"/>
      <c r="CB76" s="137"/>
      <c r="CC76" s="137"/>
      <c r="CD76" s="137"/>
      <c r="CE76" s="137"/>
      <c r="CF76" s="137"/>
      <c r="CG76" s="137"/>
      <c r="CH76" s="137"/>
      <c r="CI76" s="137"/>
      <c r="CJ76" s="137"/>
      <c r="CK76" s="194"/>
      <c r="CL76" s="114"/>
    </row>
    <row r="77" spans="1:90" ht="17.25" thickBot="1" x14ac:dyDescent="0.35">
      <c r="A77" s="114"/>
      <c r="B77" s="185" t="s">
        <v>252</v>
      </c>
      <c r="C77" s="195">
        <v>10</v>
      </c>
      <c r="D77" s="218" t="s">
        <v>236</v>
      </c>
      <c r="E77" s="219" t="s">
        <v>250</v>
      </c>
      <c r="F77" s="195"/>
      <c r="G77" s="195"/>
      <c r="H77" s="195"/>
      <c r="I77" s="195"/>
      <c r="J77" s="195"/>
      <c r="K77" s="195"/>
      <c r="L77" s="195"/>
      <c r="M77" s="195"/>
      <c r="N77" s="195"/>
      <c r="O77" s="195"/>
      <c r="P77" s="195"/>
      <c r="Q77" s="195"/>
      <c r="R77" s="185"/>
      <c r="S77" s="195"/>
      <c r="T77" s="195"/>
      <c r="U77" s="195"/>
      <c r="V77" s="195"/>
      <c r="W77" s="195"/>
      <c r="X77" s="195"/>
      <c r="Y77" s="195"/>
      <c r="Z77" s="195"/>
      <c r="AA77" s="195"/>
      <c r="AB77" s="195"/>
      <c r="AC77" s="196"/>
      <c r="AD77" s="185"/>
      <c r="AE77" s="195"/>
      <c r="AF77" s="195"/>
      <c r="AG77" s="195"/>
      <c r="AH77" s="195"/>
      <c r="AI77" s="195"/>
      <c r="AJ77" s="195"/>
      <c r="AK77" s="195"/>
      <c r="AL77" s="195"/>
      <c r="AM77" s="195"/>
      <c r="AN77" s="195"/>
      <c r="AO77" s="196"/>
      <c r="AP77" s="185"/>
      <c r="AQ77" s="195"/>
      <c r="AR77" s="195"/>
      <c r="AS77" s="195"/>
      <c r="AT77" s="195"/>
      <c r="AU77" s="195"/>
      <c r="AV77" s="195"/>
      <c r="AW77" s="195"/>
      <c r="AX77" s="195"/>
      <c r="AY77" s="195"/>
      <c r="AZ77" s="195"/>
      <c r="BA77" s="196"/>
      <c r="BB77" s="185"/>
      <c r="BC77" s="195"/>
      <c r="BD77" s="195"/>
      <c r="BE77" s="195"/>
      <c r="BF77" s="195"/>
      <c r="BG77" s="195"/>
      <c r="BH77" s="195"/>
      <c r="BI77" s="195"/>
      <c r="BJ77" s="195"/>
      <c r="BK77" s="195"/>
      <c r="BL77" s="195"/>
      <c r="BM77" s="196"/>
      <c r="BN77" s="185"/>
      <c r="BO77" s="195"/>
      <c r="BP77" s="195"/>
      <c r="BQ77" s="195"/>
      <c r="BR77" s="195"/>
      <c r="BS77" s="195"/>
      <c r="BT77" s="195"/>
      <c r="BU77" s="195"/>
      <c r="BV77" s="195"/>
      <c r="BW77" s="195"/>
      <c r="BX77" s="195"/>
      <c r="BY77" s="196"/>
      <c r="BZ77" s="185"/>
      <c r="CA77" s="195"/>
      <c r="CB77" s="195"/>
      <c r="CC77" s="195"/>
      <c r="CD77" s="195"/>
      <c r="CE77" s="195"/>
      <c r="CF77" s="195"/>
      <c r="CG77" s="195"/>
      <c r="CH77" s="195"/>
      <c r="CI77" s="195"/>
      <c r="CJ77" s="195"/>
      <c r="CK77" s="196"/>
      <c r="CL77" s="114"/>
    </row>
    <row r="78" spans="1:90" x14ac:dyDescent="0.3">
      <c r="A78" s="114"/>
      <c r="B78" s="150" t="s">
        <v>253</v>
      </c>
      <c r="C78" s="188">
        <v>1</v>
      </c>
      <c r="D78" s="215" t="s">
        <v>254</v>
      </c>
      <c r="E78" s="216" t="s">
        <v>255</v>
      </c>
      <c r="F78" s="188"/>
      <c r="G78" s="188"/>
      <c r="H78" s="188"/>
      <c r="I78" s="188"/>
      <c r="J78" s="188"/>
      <c r="K78" s="188"/>
      <c r="L78" s="188"/>
      <c r="M78" s="188"/>
      <c r="N78" s="188"/>
      <c r="O78" s="188"/>
      <c r="P78" s="188"/>
      <c r="Q78" s="188"/>
      <c r="R78" s="150"/>
      <c r="S78" s="188"/>
      <c r="T78" s="188"/>
      <c r="U78" s="188"/>
      <c r="V78" s="188"/>
      <c r="W78" s="188"/>
      <c r="X78" s="188"/>
      <c r="Y78" s="188"/>
      <c r="Z78" s="188"/>
      <c r="AA78" s="188"/>
      <c r="AB78" s="188"/>
      <c r="AC78" s="189"/>
      <c r="AD78" s="150"/>
      <c r="AE78" s="188"/>
      <c r="AF78" s="188"/>
      <c r="AG78" s="188"/>
      <c r="AH78" s="188"/>
      <c r="AI78" s="188"/>
      <c r="AJ78" s="188"/>
      <c r="AK78" s="188"/>
      <c r="AL78" s="188"/>
      <c r="AM78" s="188"/>
      <c r="AN78" s="188"/>
      <c r="AO78" s="189"/>
      <c r="AP78" s="150"/>
      <c r="AQ78" s="188"/>
      <c r="AR78" s="188"/>
      <c r="AS78" s="188"/>
      <c r="AT78" s="188"/>
      <c r="AU78" s="188"/>
      <c r="AV78" s="188"/>
      <c r="AW78" s="188"/>
      <c r="AX78" s="188"/>
      <c r="AY78" s="188"/>
      <c r="AZ78" s="188"/>
      <c r="BA78" s="189"/>
      <c r="BB78" s="150"/>
      <c r="BC78" s="188"/>
      <c r="BD78" s="188"/>
      <c r="BE78" s="188"/>
      <c r="BF78" s="188"/>
      <c r="BG78" s="188"/>
      <c r="BH78" s="188"/>
      <c r="BI78" s="188"/>
      <c r="BJ78" s="188"/>
      <c r="BK78" s="188"/>
      <c r="BL78" s="188"/>
      <c r="BM78" s="189"/>
      <c r="BN78" s="150"/>
      <c r="BO78" s="188"/>
      <c r="BP78" s="188"/>
      <c r="BQ78" s="188"/>
      <c r="BR78" s="188"/>
      <c r="BS78" s="188"/>
      <c r="BT78" s="188"/>
      <c r="BU78" s="188"/>
      <c r="BV78" s="188"/>
      <c r="BW78" s="188"/>
      <c r="BX78" s="188"/>
      <c r="BY78" s="189"/>
      <c r="BZ78" s="150"/>
      <c r="CA78" s="188"/>
      <c r="CB78" s="188"/>
      <c r="CC78" s="188"/>
      <c r="CD78" s="188"/>
      <c r="CE78" s="188"/>
      <c r="CF78" s="188"/>
      <c r="CG78" s="188"/>
      <c r="CH78" s="188"/>
      <c r="CI78" s="188"/>
      <c r="CJ78" s="188"/>
      <c r="CK78" s="189"/>
      <c r="CL78" s="114"/>
    </row>
    <row r="79" spans="1:90" ht="17.25" thickBot="1" x14ac:dyDescent="0.35">
      <c r="A79" s="114"/>
      <c r="B79" s="185" t="s">
        <v>253</v>
      </c>
      <c r="C79" s="195">
        <v>2</v>
      </c>
      <c r="D79" s="218" t="s">
        <v>254</v>
      </c>
      <c r="E79" s="219" t="s">
        <v>255</v>
      </c>
      <c r="F79" s="195"/>
      <c r="G79" s="195"/>
      <c r="H79" s="195"/>
      <c r="I79" s="195"/>
      <c r="J79" s="195"/>
      <c r="K79" s="195"/>
      <c r="L79" s="195"/>
      <c r="M79" s="195"/>
      <c r="N79" s="195"/>
      <c r="O79" s="195"/>
      <c r="P79" s="195"/>
      <c r="Q79" s="195"/>
      <c r="R79" s="185"/>
      <c r="S79" s="195"/>
      <c r="T79" s="195"/>
      <c r="U79" s="195"/>
      <c r="V79" s="195"/>
      <c r="W79" s="195"/>
      <c r="X79" s="195"/>
      <c r="Y79" s="195"/>
      <c r="Z79" s="195"/>
      <c r="AA79" s="195"/>
      <c r="AB79" s="195"/>
      <c r="AC79" s="196"/>
      <c r="AD79" s="185"/>
      <c r="AE79" s="195"/>
      <c r="AF79" s="195"/>
      <c r="AG79" s="195"/>
      <c r="AH79" s="195"/>
      <c r="AI79" s="195"/>
      <c r="AJ79" s="195"/>
      <c r="AK79" s="195"/>
      <c r="AL79" s="195"/>
      <c r="AM79" s="195"/>
      <c r="AN79" s="195"/>
      <c r="AO79" s="196"/>
      <c r="AP79" s="185"/>
      <c r="AQ79" s="195"/>
      <c r="AR79" s="195"/>
      <c r="AS79" s="195"/>
      <c r="AT79" s="195"/>
      <c r="AU79" s="195"/>
      <c r="AV79" s="195"/>
      <c r="AW79" s="195"/>
      <c r="AX79" s="195"/>
      <c r="AY79" s="195"/>
      <c r="AZ79" s="195"/>
      <c r="BA79" s="196"/>
      <c r="BB79" s="185"/>
      <c r="BC79" s="195"/>
      <c r="BD79" s="195"/>
      <c r="BE79" s="195"/>
      <c r="BF79" s="195"/>
      <c r="BG79" s="195"/>
      <c r="BH79" s="195"/>
      <c r="BI79" s="195"/>
      <c r="BJ79" s="195"/>
      <c r="BK79" s="195"/>
      <c r="BL79" s="195"/>
      <c r="BM79" s="196"/>
      <c r="BN79" s="185"/>
      <c r="BO79" s="195"/>
      <c r="BP79" s="195"/>
      <c r="BQ79" s="195"/>
      <c r="BR79" s="195"/>
      <c r="BS79" s="195"/>
      <c r="BT79" s="195"/>
      <c r="BU79" s="195"/>
      <c r="BV79" s="195"/>
      <c r="BW79" s="195"/>
      <c r="BX79" s="195"/>
      <c r="BY79" s="196"/>
      <c r="BZ79" s="185"/>
      <c r="CA79" s="195"/>
      <c r="CB79" s="195"/>
      <c r="CC79" s="195"/>
      <c r="CD79" s="195"/>
      <c r="CE79" s="195"/>
      <c r="CF79" s="195"/>
      <c r="CG79" s="195"/>
      <c r="CH79" s="195"/>
      <c r="CI79" s="195"/>
      <c r="CJ79" s="195"/>
      <c r="CK79" s="196"/>
      <c r="CL79" s="114"/>
    </row>
    <row r="80" spans="1:90" x14ac:dyDescent="0.3">
      <c r="A80" s="114"/>
      <c r="B80" s="150" t="s">
        <v>257</v>
      </c>
      <c r="C80" s="188">
        <v>1</v>
      </c>
      <c r="D80" s="215" t="s">
        <v>256</v>
      </c>
      <c r="E80" s="216" t="s">
        <v>255</v>
      </c>
      <c r="F80" s="188"/>
      <c r="G80" s="188"/>
      <c r="H80" s="188"/>
      <c r="I80" s="188"/>
      <c r="J80" s="188"/>
      <c r="K80" s="188"/>
      <c r="L80" s="188"/>
      <c r="M80" s="188"/>
      <c r="N80" s="188"/>
      <c r="O80" s="188"/>
      <c r="P80" s="188"/>
      <c r="Q80" s="188"/>
      <c r="R80" s="150"/>
      <c r="S80" s="188"/>
      <c r="T80" s="188"/>
      <c r="U80" s="188"/>
      <c r="V80" s="188"/>
      <c r="W80" s="188"/>
      <c r="X80" s="188"/>
      <c r="Y80" s="188"/>
      <c r="Z80" s="188"/>
      <c r="AA80" s="188"/>
      <c r="AB80" s="188"/>
      <c r="AC80" s="189"/>
      <c r="AD80" s="150"/>
      <c r="AE80" s="188"/>
      <c r="AF80" s="188"/>
      <c r="AG80" s="188"/>
      <c r="AH80" s="188"/>
      <c r="AI80" s="188"/>
      <c r="AJ80" s="188"/>
      <c r="AK80" s="188"/>
      <c r="AL80" s="188"/>
      <c r="AM80" s="188"/>
      <c r="AN80" s="188"/>
      <c r="AO80" s="189"/>
      <c r="AP80" s="150"/>
      <c r="AQ80" s="188"/>
      <c r="AR80" s="188"/>
      <c r="AS80" s="188"/>
      <c r="AT80" s="188"/>
      <c r="AU80" s="188"/>
      <c r="AV80" s="188"/>
      <c r="AW80" s="188"/>
      <c r="AX80" s="188"/>
      <c r="AY80" s="188"/>
      <c r="AZ80" s="188"/>
      <c r="BA80" s="189"/>
      <c r="BB80" s="150"/>
      <c r="BC80" s="188"/>
      <c r="BD80" s="188"/>
      <c r="BE80" s="188"/>
      <c r="BF80" s="188"/>
      <c r="BG80" s="188"/>
      <c r="BH80" s="188"/>
      <c r="BI80" s="188"/>
      <c r="BJ80" s="188"/>
      <c r="BK80" s="188"/>
      <c r="BL80" s="188"/>
      <c r="BM80" s="189"/>
      <c r="BN80" s="150"/>
      <c r="BO80" s="188"/>
      <c r="BP80" s="188"/>
      <c r="BQ80" s="188"/>
      <c r="BR80" s="188"/>
      <c r="BS80" s="188"/>
      <c r="BT80" s="188"/>
      <c r="BU80" s="188"/>
      <c r="BV80" s="188"/>
      <c r="BW80" s="188"/>
      <c r="BX80" s="188"/>
      <c r="BY80" s="189"/>
      <c r="BZ80" s="150"/>
      <c r="CA80" s="188"/>
      <c r="CB80" s="188"/>
      <c r="CC80" s="188"/>
      <c r="CD80" s="188"/>
      <c r="CE80" s="188"/>
      <c r="CF80" s="188"/>
      <c r="CG80" s="188"/>
      <c r="CH80" s="188"/>
      <c r="CI80" s="188"/>
      <c r="CJ80" s="188"/>
      <c r="CK80" s="189"/>
      <c r="CL80" s="114"/>
    </row>
    <row r="81" spans="1:90" x14ac:dyDescent="0.3">
      <c r="A81" s="114"/>
      <c r="B81" s="184" t="s">
        <v>257</v>
      </c>
      <c r="C81" s="137">
        <v>2</v>
      </c>
      <c r="D81" s="208" t="s">
        <v>256</v>
      </c>
      <c r="E81" s="213" t="s">
        <v>255</v>
      </c>
      <c r="F81" s="137"/>
      <c r="G81" s="137"/>
      <c r="H81" s="137"/>
      <c r="I81" s="137"/>
      <c r="J81" s="137"/>
      <c r="K81" s="137"/>
      <c r="L81" s="137"/>
      <c r="M81" s="137"/>
      <c r="N81" s="137"/>
      <c r="O81" s="137"/>
      <c r="P81" s="137"/>
      <c r="Q81" s="137"/>
      <c r="R81" s="184"/>
      <c r="S81" s="137"/>
      <c r="T81" s="137"/>
      <c r="U81" s="137"/>
      <c r="V81" s="137"/>
      <c r="W81" s="137"/>
      <c r="X81" s="137"/>
      <c r="Y81" s="137"/>
      <c r="Z81" s="137"/>
      <c r="AA81" s="137"/>
      <c r="AB81" s="137"/>
      <c r="AC81" s="194"/>
      <c r="AD81" s="184"/>
      <c r="AE81" s="137"/>
      <c r="AF81" s="137"/>
      <c r="AG81" s="137"/>
      <c r="AH81" s="137"/>
      <c r="AI81" s="137"/>
      <c r="AJ81" s="137"/>
      <c r="AK81" s="137"/>
      <c r="AL81" s="137"/>
      <c r="AM81" s="137"/>
      <c r="AN81" s="137"/>
      <c r="AO81" s="194"/>
      <c r="AP81" s="184"/>
      <c r="AQ81" s="137"/>
      <c r="AR81" s="137"/>
      <c r="AS81" s="137"/>
      <c r="AT81" s="137"/>
      <c r="AU81" s="137"/>
      <c r="AV81" s="137"/>
      <c r="AW81" s="137"/>
      <c r="AX81" s="137"/>
      <c r="AY81" s="137"/>
      <c r="AZ81" s="137"/>
      <c r="BA81" s="194"/>
      <c r="BB81" s="184"/>
      <c r="BC81" s="137"/>
      <c r="BD81" s="137"/>
      <c r="BE81" s="137"/>
      <c r="BF81" s="137"/>
      <c r="BG81" s="137"/>
      <c r="BH81" s="137"/>
      <c r="BI81" s="137"/>
      <c r="BJ81" s="137"/>
      <c r="BK81" s="137"/>
      <c r="BL81" s="137"/>
      <c r="BM81" s="194"/>
      <c r="BN81" s="184"/>
      <c r="BO81" s="137"/>
      <c r="BP81" s="137"/>
      <c r="BQ81" s="137"/>
      <c r="BR81" s="137"/>
      <c r="BS81" s="137"/>
      <c r="BT81" s="137"/>
      <c r="BU81" s="137"/>
      <c r="BV81" s="137"/>
      <c r="BW81" s="137"/>
      <c r="BX81" s="137"/>
      <c r="BY81" s="194"/>
      <c r="BZ81" s="184"/>
      <c r="CA81" s="137"/>
      <c r="CB81" s="137"/>
      <c r="CC81" s="137"/>
      <c r="CD81" s="137"/>
      <c r="CE81" s="137"/>
      <c r="CF81" s="137"/>
      <c r="CG81" s="137"/>
      <c r="CH81" s="137"/>
      <c r="CI81" s="137"/>
      <c r="CJ81" s="137"/>
      <c r="CK81" s="194"/>
      <c r="CL81" s="114"/>
    </row>
    <row r="82" spans="1:90" ht="17.25" thickBot="1" x14ac:dyDescent="0.35">
      <c r="A82" s="114"/>
      <c r="B82" s="185" t="s">
        <v>257</v>
      </c>
      <c r="C82" s="195">
        <v>2</v>
      </c>
      <c r="D82" s="218" t="s">
        <v>256</v>
      </c>
      <c r="E82" s="219" t="s">
        <v>255</v>
      </c>
      <c r="F82" s="195"/>
      <c r="G82" s="195"/>
      <c r="H82" s="195"/>
      <c r="I82" s="195"/>
      <c r="J82" s="195"/>
      <c r="K82" s="195"/>
      <c r="L82" s="195"/>
      <c r="M82" s="195"/>
      <c r="N82" s="195"/>
      <c r="O82" s="195"/>
      <c r="P82" s="195"/>
      <c r="Q82" s="195"/>
      <c r="R82" s="185"/>
      <c r="S82" s="195"/>
      <c r="T82" s="195"/>
      <c r="U82" s="195"/>
      <c r="V82" s="195"/>
      <c r="W82" s="195"/>
      <c r="X82" s="195"/>
      <c r="Y82" s="195"/>
      <c r="Z82" s="195"/>
      <c r="AA82" s="195"/>
      <c r="AB82" s="195"/>
      <c r="AC82" s="196"/>
      <c r="AD82" s="185"/>
      <c r="AE82" s="195"/>
      <c r="AF82" s="195"/>
      <c r="AG82" s="195"/>
      <c r="AH82" s="195"/>
      <c r="AI82" s="195"/>
      <c r="AJ82" s="195"/>
      <c r="AK82" s="195"/>
      <c r="AL82" s="195"/>
      <c r="AM82" s="195"/>
      <c r="AN82" s="195"/>
      <c r="AO82" s="196"/>
      <c r="AP82" s="185"/>
      <c r="AQ82" s="195"/>
      <c r="AR82" s="195"/>
      <c r="AS82" s="195"/>
      <c r="AT82" s="195"/>
      <c r="AU82" s="195"/>
      <c r="AV82" s="195"/>
      <c r="AW82" s="195"/>
      <c r="AX82" s="195"/>
      <c r="AY82" s="195"/>
      <c r="AZ82" s="195"/>
      <c r="BA82" s="196"/>
      <c r="BB82" s="185"/>
      <c r="BC82" s="195"/>
      <c r="BD82" s="195"/>
      <c r="BE82" s="195"/>
      <c r="BF82" s="195"/>
      <c r="BG82" s="195"/>
      <c r="BH82" s="195"/>
      <c r="BI82" s="195"/>
      <c r="BJ82" s="195"/>
      <c r="BK82" s="195"/>
      <c r="BL82" s="195"/>
      <c r="BM82" s="196"/>
      <c r="BN82" s="185"/>
      <c r="BO82" s="195"/>
      <c r="BP82" s="195"/>
      <c r="BQ82" s="195"/>
      <c r="BR82" s="195"/>
      <c r="BS82" s="195"/>
      <c r="BT82" s="195"/>
      <c r="BU82" s="195"/>
      <c r="BV82" s="195"/>
      <c r="BW82" s="195"/>
      <c r="BX82" s="195"/>
      <c r="BY82" s="196"/>
      <c r="BZ82" s="185"/>
      <c r="CA82" s="195"/>
      <c r="CB82" s="195"/>
      <c r="CC82" s="195"/>
      <c r="CD82" s="195"/>
      <c r="CE82" s="195"/>
      <c r="CF82" s="195"/>
      <c r="CG82" s="195"/>
      <c r="CH82" s="195"/>
      <c r="CI82" s="195"/>
      <c r="CJ82" s="195"/>
      <c r="CK82" s="196"/>
      <c r="CL82" s="114"/>
    </row>
    <row r="83" spans="1:90" x14ac:dyDescent="0.3">
      <c r="A83" s="114"/>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s="114"/>
    </row>
    <row r="84" spans="1:90" ht="17.25" thickBot="1" x14ac:dyDescent="0.35">
      <c r="A84" s="114"/>
      <c r="B84" s="114"/>
      <c r="CL84" s="114"/>
    </row>
    <row r="85" spans="1:90" ht="19.5" thickBot="1" x14ac:dyDescent="0.35">
      <c r="A85" s="114"/>
      <c r="B85" s="241" t="s">
        <v>97</v>
      </c>
      <c r="C85" s="242"/>
      <c r="D85" s="200"/>
      <c r="E85" s="200"/>
      <c r="F85" s="124">
        <f>SUM(F86:K90)</f>
        <v>10</v>
      </c>
      <c r="G85" s="125"/>
      <c r="H85" s="125"/>
      <c r="I85" s="125"/>
      <c r="J85" s="125"/>
      <c r="K85" s="126"/>
      <c r="L85" s="241">
        <f>SUM(L86:Q90)</f>
        <v>4</v>
      </c>
      <c r="M85" s="257"/>
      <c r="N85" s="257"/>
      <c r="O85" s="257"/>
      <c r="P85" s="257"/>
      <c r="Q85" s="242"/>
      <c r="R85" s="241">
        <f>SUM(R86:W90)</f>
        <v>4</v>
      </c>
      <c r="S85" s="257"/>
      <c r="T85" s="257"/>
      <c r="U85" s="257"/>
      <c r="V85" s="257"/>
      <c r="W85" s="242"/>
      <c r="X85" s="241">
        <f>SUM(X86:AC90)</f>
        <v>1</v>
      </c>
      <c r="Y85" s="257"/>
      <c r="Z85" s="257"/>
      <c r="AA85" s="257"/>
      <c r="AB85" s="257"/>
      <c r="AC85" s="242"/>
      <c r="AD85" s="241">
        <f>SUM(AD86:AI90)</f>
        <v>1</v>
      </c>
      <c r="AE85" s="257"/>
      <c r="AF85" s="257"/>
      <c r="AG85" s="257"/>
      <c r="AH85" s="257"/>
      <c r="AI85" s="242"/>
      <c r="AJ85" s="241">
        <f>SUM(AJ86:AO90)</f>
        <v>1</v>
      </c>
      <c r="AK85" s="257"/>
      <c r="AL85" s="257"/>
      <c r="AM85" s="257"/>
      <c r="AN85" s="257"/>
      <c r="AO85" s="242"/>
      <c r="AP85" s="241">
        <f>SUM(AP86:AU90)</f>
        <v>0</v>
      </c>
      <c r="AQ85" s="257"/>
      <c r="AR85" s="257"/>
      <c r="AS85" s="257"/>
      <c r="AT85" s="257"/>
      <c r="AU85" s="242"/>
      <c r="AV85" s="241">
        <v>0</v>
      </c>
      <c r="AW85" s="257"/>
      <c r="AX85" s="257"/>
      <c r="AY85" s="257"/>
      <c r="AZ85" s="257"/>
      <c r="BA85" s="242"/>
      <c r="BB85" s="241">
        <f>SUM(BB86:BG90)</f>
        <v>0</v>
      </c>
      <c r="BC85" s="257"/>
      <c r="BD85" s="257"/>
      <c r="BE85" s="257"/>
      <c r="BF85" s="257"/>
      <c r="BG85" s="242"/>
      <c r="BH85" s="241">
        <v>0</v>
      </c>
      <c r="BI85" s="257"/>
      <c r="BJ85" s="257"/>
      <c r="BK85" s="257"/>
      <c r="BL85" s="257"/>
      <c r="BM85" s="242"/>
      <c r="BN85" s="241">
        <f>SUM(BN86:BS90)</f>
        <v>0</v>
      </c>
      <c r="BO85" s="257"/>
      <c r="BP85" s="257"/>
      <c r="BQ85" s="257"/>
      <c r="BR85" s="257"/>
      <c r="BS85" s="242"/>
      <c r="BT85" s="116"/>
      <c r="BU85" s="116"/>
      <c r="BV85" s="116"/>
      <c r="BW85" s="116"/>
      <c r="BX85" s="116"/>
      <c r="BY85" s="116"/>
      <c r="BZ85" s="116"/>
      <c r="CA85" s="116"/>
      <c r="CB85" s="116"/>
      <c r="CL85" s="114"/>
    </row>
    <row r="86" spans="1:90" ht="18.75" x14ac:dyDescent="0.3">
      <c r="A86" s="114"/>
      <c r="B86" s="243" t="s">
        <v>191</v>
      </c>
      <c r="C86" s="244"/>
      <c r="D86" s="198"/>
      <c r="E86" s="198"/>
      <c r="F86" s="127">
        <v>3</v>
      </c>
      <c r="G86" s="128"/>
      <c r="H86" s="128"/>
      <c r="I86" s="128"/>
      <c r="J86" s="128"/>
      <c r="K86" s="129"/>
      <c r="L86" s="248">
        <v>1</v>
      </c>
      <c r="M86" s="249"/>
      <c r="N86" s="249"/>
      <c r="O86" s="249"/>
      <c r="P86" s="249"/>
      <c r="Q86" s="250"/>
      <c r="R86" s="248">
        <v>2</v>
      </c>
      <c r="S86" s="249"/>
      <c r="T86" s="249"/>
      <c r="U86" s="249"/>
      <c r="V86" s="249"/>
      <c r="W86" s="250"/>
      <c r="X86" s="248">
        <v>0</v>
      </c>
      <c r="Y86" s="249"/>
      <c r="Z86" s="249"/>
      <c r="AA86" s="249"/>
      <c r="AB86" s="249"/>
      <c r="AC86" s="250"/>
      <c r="AD86" s="248">
        <v>0</v>
      </c>
      <c r="AE86" s="249"/>
      <c r="AF86" s="249"/>
      <c r="AG86" s="249"/>
      <c r="AH86" s="249"/>
      <c r="AI86" s="250"/>
      <c r="AJ86" s="248">
        <v>0</v>
      </c>
      <c r="AK86" s="249"/>
      <c r="AL86" s="249"/>
      <c r="AM86" s="249"/>
      <c r="AN86" s="249"/>
      <c r="AO86" s="250"/>
      <c r="AP86" s="248">
        <v>0</v>
      </c>
      <c r="AQ86" s="249"/>
      <c r="AR86" s="249"/>
      <c r="AS86" s="249"/>
      <c r="AT86" s="249"/>
      <c r="AU86" s="250"/>
      <c r="AV86" s="248">
        <v>0</v>
      </c>
      <c r="AW86" s="249"/>
      <c r="AX86" s="249"/>
      <c r="AY86" s="249"/>
      <c r="AZ86" s="249"/>
      <c r="BA86" s="250"/>
      <c r="BB86" s="248">
        <v>0</v>
      </c>
      <c r="BC86" s="249"/>
      <c r="BD86" s="249"/>
      <c r="BE86" s="249"/>
      <c r="BF86" s="249"/>
      <c r="BG86" s="250"/>
      <c r="BH86" s="248">
        <v>0</v>
      </c>
      <c r="BI86" s="249"/>
      <c r="BJ86" s="249"/>
      <c r="BK86" s="249"/>
      <c r="BL86" s="249"/>
      <c r="BM86" s="250"/>
      <c r="BN86" s="248">
        <v>0</v>
      </c>
      <c r="BO86" s="249"/>
      <c r="BP86" s="249"/>
      <c r="BQ86" s="249"/>
      <c r="BR86" s="249"/>
      <c r="BS86" s="250"/>
      <c r="BT86" s="116"/>
      <c r="BU86" s="116"/>
      <c r="BV86" s="116"/>
      <c r="BW86" s="116"/>
      <c r="BX86" s="116"/>
      <c r="BY86" s="116"/>
      <c r="BZ86" s="116"/>
      <c r="CA86" s="116"/>
      <c r="CB86" s="116"/>
      <c r="CK86" s="114"/>
      <c r="CL86" s="114"/>
    </row>
    <row r="87" spans="1:90" ht="18.75" x14ac:dyDescent="0.3">
      <c r="A87" s="114"/>
      <c r="B87" s="245" t="s">
        <v>98</v>
      </c>
      <c r="C87" s="246"/>
      <c r="D87" s="199"/>
      <c r="E87" s="199"/>
      <c r="F87" s="130">
        <v>0</v>
      </c>
      <c r="G87" s="131"/>
      <c r="H87" s="131"/>
      <c r="I87" s="131"/>
      <c r="J87" s="131"/>
      <c r="K87" s="132"/>
      <c r="L87" s="251">
        <v>1</v>
      </c>
      <c r="M87" s="252"/>
      <c r="N87" s="252"/>
      <c r="O87" s="252"/>
      <c r="P87" s="252"/>
      <c r="Q87" s="253"/>
      <c r="R87" s="251">
        <v>0</v>
      </c>
      <c r="S87" s="252"/>
      <c r="T87" s="252"/>
      <c r="U87" s="252"/>
      <c r="V87" s="252"/>
      <c r="W87" s="253"/>
      <c r="X87" s="251">
        <v>0</v>
      </c>
      <c r="Y87" s="252"/>
      <c r="Z87" s="252"/>
      <c r="AA87" s="252"/>
      <c r="AB87" s="252"/>
      <c r="AC87" s="253"/>
      <c r="AD87" s="251">
        <v>0</v>
      </c>
      <c r="AE87" s="252"/>
      <c r="AF87" s="252"/>
      <c r="AG87" s="252"/>
      <c r="AH87" s="252"/>
      <c r="AI87" s="253"/>
      <c r="AJ87" s="251">
        <v>0</v>
      </c>
      <c r="AK87" s="252"/>
      <c r="AL87" s="252"/>
      <c r="AM87" s="252"/>
      <c r="AN87" s="252"/>
      <c r="AO87" s="253"/>
      <c r="AP87" s="251">
        <v>0</v>
      </c>
      <c r="AQ87" s="252"/>
      <c r="AR87" s="252"/>
      <c r="AS87" s="252"/>
      <c r="AT87" s="252"/>
      <c r="AU87" s="253"/>
      <c r="AV87" s="251">
        <v>0</v>
      </c>
      <c r="AW87" s="252"/>
      <c r="AX87" s="252"/>
      <c r="AY87" s="252"/>
      <c r="AZ87" s="252"/>
      <c r="BA87" s="253"/>
      <c r="BB87" s="251">
        <v>0</v>
      </c>
      <c r="BC87" s="252"/>
      <c r="BD87" s="252"/>
      <c r="BE87" s="252"/>
      <c r="BF87" s="252"/>
      <c r="BG87" s="253"/>
      <c r="BH87" s="251">
        <v>0</v>
      </c>
      <c r="BI87" s="252"/>
      <c r="BJ87" s="252"/>
      <c r="BK87" s="252"/>
      <c r="BL87" s="252"/>
      <c r="BM87" s="253"/>
      <c r="BN87" s="251">
        <v>0</v>
      </c>
      <c r="BO87" s="252"/>
      <c r="BP87" s="252"/>
      <c r="BQ87" s="252"/>
      <c r="BR87" s="252"/>
      <c r="BS87" s="253"/>
      <c r="BT87" s="116"/>
      <c r="BU87" s="116"/>
      <c r="BV87" s="116"/>
      <c r="BW87" s="116"/>
      <c r="BX87" s="116"/>
      <c r="BY87" s="116"/>
      <c r="BZ87" s="116"/>
      <c r="CA87" s="116"/>
      <c r="CB87" s="116"/>
      <c r="CK87" s="114"/>
      <c r="CL87" s="114"/>
    </row>
    <row r="88" spans="1:90" ht="18.75" x14ac:dyDescent="0.3">
      <c r="A88" s="114"/>
      <c r="B88" s="264" t="s">
        <v>99</v>
      </c>
      <c r="C88" s="265"/>
      <c r="D88" s="207"/>
      <c r="E88" s="207"/>
      <c r="F88" s="130">
        <v>1</v>
      </c>
      <c r="G88" s="131"/>
      <c r="H88" s="131"/>
      <c r="I88" s="131"/>
      <c r="J88" s="131"/>
      <c r="K88" s="132"/>
      <c r="L88" s="251">
        <v>0</v>
      </c>
      <c r="M88" s="252"/>
      <c r="N88" s="252"/>
      <c r="O88" s="252"/>
      <c r="P88" s="252"/>
      <c r="Q88" s="253"/>
      <c r="R88" s="251">
        <v>0</v>
      </c>
      <c r="S88" s="252"/>
      <c r="T88" s="252"/>
      <c r="U88" s="252"/>
      <c r="V88" s="252"/>
      <c r="W88" s="253"/>
      <c r="X88" s="251">
        <v>0</v>
      </c>
      <c r="Y88" s="252"/>
      <c r="Z88" s="252"/>
      <c r="AA88" s="252"/>
      <c r="AB88" s="252"/>
      <c r="AC88" s="253"/>
      <c r="AD88" s="251">
        <v>0</v>
      </c>
      <c r="AE88" s="252"/>
      <c r="AF88" s="252"/>
      <c r="AG88" s="252"/>
      <c r="AH88" s="252"/>
      <c r="AI88" s="253"/>
      <c r="AJ88" s="251"/>
      <c r="AK88" s="252"/>
      <c r="AL88" s="252"/>
      <c r="AM88" s="252"/>
      <c r="AN88" s="252"/>
      <c r="AO88" s="253"/>
      <c r="AP88" s="251"/>
      <c r="AQ88" s="252"/>
      <c r="AR88" s="252"/>
      <c r="AS88" s="252"/>
      <c r="AT88" s="252"/>
      <c r="AU88" s="253"/>
      <c r="AV88" s="251"/>
      <c r="AW88" s="252"/>
      <c r="AX88" s="252"/>
      <c r="AY88" s="252"/>
      <c r="AZ88" s="252"/>
      <c r="BA88" s="253"/>
      <c r="BB88" s="251"/>
      <c r="BC88" s="252"/>
      <c r="BD88" s="252"/>
      <c r="BE88" s="252"/>
      <c r="BF88" s="252"/>
      <c r="BG88" s="253"/>
      <c r="BH88" s="251"/>
      <c r="BI88" s="252"/>
      <c r="BJ88" s="252"/>
      <c r="BK88" s="252"/>
      <c r="BL88" s="252"/>
      <c r="BM88" s="253"/>
      <c r="BN88" s="251"/>
      <c r="BO88" s="252"/>
      <c r="BP88" s="252"/>
      <c r="BQ88" s="252"/>
      <c r="BR88" s="252"/>
      <c r="BS88" s="253"/>
      <c r="BT88" s="116"/>
      <c r="BU88" s="116"/>
      <c r="BV88" s="116"/>
      <c r="BW88" s="116"/>
      <c r="BX88" s="116"/>
      <c r="BY88" s="116"/>
      <c r="BZ88" s="116"/>
      <c r="CA88" s="116"/>
      <c r="CB88" s="116"/>
      <c r="CK88" s="114"/>
      <c r="CL88" s="114"/>
    </row>
    <row r="89" spans="1:90" ht="18.75" x14ac:dyDescent="0.3">
      <c r="A89" s="114"/>
      <c r="B89" s="266" t="s">
        <v>16</v>
      </c>
      <c r="C89" s="267"/>
      <c r="D89" s="202"/>
      <c r="E89" s="202"/>
      <c r="F89" s="130">
        <v>6</v>
      </c>
      <c r="G89" s="131"/>
      <c r="H89" s="131"/>
      <c r="I89" s="131"/>
      <c r="J89" s="131"/>
      <c r="K89" s="132"/>
      <c r="L89" s="251">
        <v>0</v>
      </c>
      <c r="M89" s="252"/>
      <c r="N89" s="252"/>
      <c r="O89" s="252"/>
      <c r="P89" s="252"/>
      <c r="Q89" s="253"/>
      <c r="R89" s="251">
        <v>1</v>
      </c>
      <c r="S89" s="252"/>
      <c r="T89" s="252"/>
      <c r="U89" s="252"/>
      <c r="V89" s="252"/>
      <c r="W89" s="253"/>
      <c r="X89" s="251">
        <v>0</v>
      </c>
      <c r="Y89" s="252"/>
      <c r="Z89" s="252"/>
      <c r="AA89" s="252"/>
      <c r="AB89" s="252"/>
      <c r="AC89" s="253"/>
      <c r="AD89" s="251">
        <v>0</v>
      </c>
      <c r="AE89" s="252"/>
      <c r="AF89" s="252"/>
      <c r="AG89" s="252"/>
      <c r="AH89" s="252"/>
      <c r="AI89" s="253"/>
      <c r="AJ89" s="251">
        <v>0</v>
      </c>
      <c r="AK89" s="252"/>
      <c r="AL89" s="252"/>
      <c r="AM89" s="252"/>
      <c r="AN89" s="252"/>
      <c r="AO89" s="253"/>
      <c r="AP89" s="251">
        <v>0</v>
      </c>
      <c r="AQ89" s="252"/>
      <c r="AR89" s="252"/>
      <c r="AS89" s="252"/>
      <c r="AT89" s="252"/>
      <c r="AU89" s="253"/>
      <c r="AV89" s="251">
        <v>0</v>
      </c>
      <c r="AW89" s="252"/>
      <c r="AX89" s="252"/>
      <c r="AY89" s="252"/>
      <c r="AZ89" s="252"/>
      <c r="BA89" s="253"/>
      <c r="BB89" s="251">
        <v>0</v>
      </c>
      <c r="BC89" s="252"/>
      <c r="BD89" s="252"/>
      <c r="BE89" s="252"/>
      <c r="BF89" s="252"/>
      <c r="BG89" s="253"/>
      <c r="BH89" s="251">
        <v>0</v>
      </c>
      <c r="BI89" s="252"/>
      <c r="BJ89" s="252"/>
      <c r="BK89" s="252"/>
      <c r="BL89" s="252"/>
      <c r="BM89" s="253"/>
      <c r="BN89" s="251">
        <v>0</v>
      </c>
      <c r="BO89" s="252"/>
      <c r="BP89" s="252"/>
      <c r="BQ89" s="252"/>
      <c r="BR89" s="252"/>
      <c r="BS89" s="253"/>
      <c r="BT89" s="116"/>
      <c r="BU89" s="116"/>
      <c r="BV89" s="116"/>
      <c r="BW89" s="116"/>
      <c r="BX89" s="116"/>
      <c r="BY89" s="116"/>
      <c r="BZ89" s="116"/>
      <c r="CA89" s="116"/>
      <c r="CB89" s="116"/>
      <c r="CK89" s="114"/>
      <c r="CL89" s="114"/>
    </row>
    <row r="90" spans="1:90" ht="19.5" thickBot="1" x14ac:dyDescent="0.35">
      <c r="A90" s="114"/>
      <c r="B90" s="268" t="s">
        <v>26</v>
      </c>
      <c r="C90" s="269"/>
      <c r="D90" s="203"/>
      <c r="E90" s="203"/>
      <c r="F90" s="133">
        <v>0</v>
      </c>
      <c r="G90" s="134"/>
      <c r="H90" s="134"/>
      <c r="I90" s="134"/>
      <c r="J90" s="134"/>
      <c r="K90" s="135"/>
      <c r="L90" s="270">
        <v>2</v>
      </c>
      <c r="M90" s="271"/>
      <c r="N90" s="271"/>
      <c r="O90" s="271"/>
      <c r="P90" s="271"/>
      <c r="Q90" s="272"/>
      <c r="R90" s="270">
        <v>1</v>
      </c>
      <c r="S90" s="271"/>
      <c r="T90" s="271"/>
      <c r="U90" s="271"/>
      <c r="V90" s="271"/>
      <c r="W90" s="272"/>
      <c r="X90" s="270">
        <v>1</v>
      </c>
      <c r="Y90" s="271"/>
      <c r="Z90" s="271"/>
      <c r="AA90" s="271"/>
      <c r="AB90" s="271"/>
      <c r="AC90" s="272"/>
      <c r="AD90" s="270">
        <v>1</v>
      </c>
      <c r="AE90" s="271"/>
      <c r="AF90" s="271"/>
      <c r="AG90" s="271"/>
      <c r="AH90" s="271"/>
      <c r="AI90" s="272"/>
      <c r="AJ90" s="270">
        <v>1</v>
      </c>
      <c r="AK90" s="271"/>
      <c r="AL90" s="271"/>
      <c r="AM90" s="271"/>
      <c r="AN90" s="271"/>
      <c r="AO90" s="272"/>
      <c r="AP90" s="270">
        <v>0</v>
      </c>
      <c r="AQ90" s="271"/>
      <c r="AR90" s="271"/>
      <c r="AS90" s="271"/>
      <c r="AT90" s="271"/>
      <c r="AU90" s="272"/>
      <c r="AV90" s="270">
        <v>0</v>
      </c>
      <c r="AW90" s="271"/>
      <c r="AX90" s="271"/>
      <c r="AY90" s="271"/>
      <c r="AZ90" s="271"/>
      <c r="BA90" s="272"/>
      <c r="BB90" s="270">
        <v>0</v>
      </c>
      <c r="BC90" s="271"/>
      <c r="BD90" s="271"/>
      <c r="BE90" s="271"/>
      <c r="BF90" s="271"/>
      <c r="BG90" s="272"/>
      <c r="BH90" s="270">
        <v>0</v>
      </c>
      <c r="BI90" s="271"/>
      <c r="BJ90" s="271"/>
      <c r="BK90" s="271"/>
      <c r="BL90" s="271"/>
      <c r="BM90" s="272"/>
      <c r="BN90" s="270">
        <v>0</v>
      </c>
      <c r="BO90" s="271"/>
      <c r="BP90" s="271"/>
      <c r="BQ90" s="271"/>
      <c r="BR90" s="271"/>
      <c r="BS90" s="272"/>
      <c r="BT90" s="116"/>
      <c r="BU90" s="116"/>
      <c r="BV90" s="116"/>
      <c r="BW90" s="116"/>
      <c r="BX90" s="116"/>
      <c r="BY90" s="116"/>
      <c r="BZ90" s="116"/>
      <c r="CA90" s="116"/>
      <c r="CB90" s="116"/>
      <c r="CK90" s="114"/>
      <c r="CL90" s="114"/>
    </row>
    <row r="91" spans="1:90" x14ac:dyDescent="0.3">
      <c r="A91" s="114"/>
      <c r="B91" s="116"/>
      <c r="C91" s="116"/>
      <c r="D91" s="116"/>
      <c r="E91" s="116"/>
      <c r="F91" s="116"/>
      <c r="G91" s="116"/>
      <c r="H91" s="116"/>
      <c r="I91" s="116"/>
      <c r="J91" s="116"/>
      <c r="K91" s="116"/>
      <c r="L91" s="116"/>
      <c r="M91" s="116"/>
      <c r="N91" s="116"/>
      <c r="O91" s="116"/>
      <c r="P91" s="116"/>
      <c r="Q91" s="116"/>
      <c r="R91" s="116"/>
      <c r="S91" s="116"/>
      <c r="T91" s="116"/>
      <c r="U91" s="116"/>
      <c r="V91" s="116"/>
      <c r="W91" s="116"/>
      <c r="X91" s="116"/>
      <c r="Y91" s="116"/>
      <c r="Z91" s="116"/>
      <c r="AA91" s="116"/>
      <c r="AB91" s="116"/>
      <c r="AC91" s="116"/>
      <c r="AD91" s="116"/>
      <c r="AE91" s="116"/>
      <c r="AF91" s="116"/>
      <c r="AG91" s="116"/>
      <c r="AH91" s="116"/>
      <c r="AI91" s="116"/>
      <c r="AJ91" s="116"/>
      <c r="AK91" s="116"/>
      <c r="AL91" s="116"/>
      <c r="AM91" s="116"/>
      <c r="AN91" s="116"/>
      <c r="AO91" s="116"/>
      <c r="AP91" s="116"/>
      <c r="AQ91" s="116"/>
      <c r="AR91" s="116"/>
      <c r="AS91" s="116"/>
      <c r="AT91" s="116"/>
      <c r="AU91" s="116"/>
      <c r="AV91" s="116"/>
      <c r="AW91" s="116"/>
      <c r="AX91" s="116"/>
      <c r="AY91" s="116"/>
      <c r="AZ91" s="116"/>
      <c r="BA91" s="116"/>
      <c r="BB91" s="116"/>
      <c r="BC91" s="116"/>
      <c r="BD91" s="116"/>
      <c r="BE91" s="116"/>
      <c r="BF91" s="116"/>
      <c r="BG91" s="116"/>
      <c r="BH91" s="116"/>
      <c r="BI91" s="116"/>
      <c r="BJ91" s="116"/>
      <c r="BK91" s="116"/>
      <c r="BL91" s="116"/>
      <c r="BM91" s="116"/>
      <c r="BN91" s="116"/>
      <c r="BO91" s="116"/>
      <c r="BP91" s="116"/>
      <c r="BQ91" s="116"/>
      <c r="BR91" s="116"/>
      <c r="BS91" s="116"/>
      <c r="BT91" s="116"/>
      <c r="BU91" s="116"/>
      <c r="BV91" s="116"/>
      <c r="BW91" s="116"/>
      <c r="BX91" s="116"/>
      <c r="BY91" s="116"/>
      <c r="BZ91" s="116"/>
      <c r="CA91" s="116"/>
      <c r="CB91" s="116"/>
      <c r="CC91" s="116"/>
      <c r="CD91" s="116"/>
      <c r="CE91" s="116"/>
      <c r="CF91" s="116"/>
      <c r="CG91" s="116"/>
      <c r="CH91" s="116"/>
      <c r="CI91" s="116"/>
      <c r="CJ91" s="116"/>
      <c r="CK91" s="116"/>
      <c r="CL91" s="114"/>
    </row>
    <row r="92" spans="1:90" x14ac:dyDescent="0.3">
      <c r="A92" s="114"/>
      <c r="B92" s="116"/>
      <c r="C92" s="116"/>
      <c r="D92" s="116"/>
      <c r="E92" s="116"/>
      <c r="F92" s="116"/>
      <c r="G92" s="116"/>
      <c r="H92" s="116"/>
      <c r="I92" s="116"/>
      <c r="J92" s="116"/>
      <c r="K92" s="116"/>
      <c r="L92" s="116"/>
      <c r="M92" s="116"/>
      <c r="N92" s="116"/>
      <c r="O92" s="116"/>
      <c r="P92" s="116"/>
      <c r="Q92" s="116"/>
      <c r="R92" s="116"/>
      <c r="S92" s="116"/>
      <c r="T92" s="116"/>
      <c r="U92" s="116"/>
      <c r="V92" s="116"/>
      <c r="W92" s="116"/>
      <c r="X92" s="116"/>
      <c r="Y92" s="116"/>
      <c r="Z92" s="116"/>
      <c r="AA92" s="116"/>
      <c r="AB92" s="116"/>
      <c r="AC92" s="116"/>
      <c r="AD92" s="116"/>
      <c r="AE92" s="116"/>
      <c r="AF92" s="116"/>
      <c r="AG92" s="116"/>
      <c r="AH92" s="116"/>
      <c r="AI92" s="116"/>
      <c r="AJ92" s="116"/>
      <c r="AK92" s="116"/>
      <c r="AL92" s="116"/>
      <c r="AM92" s="116"/>
      <c r="AN92" s="116"/>
      <c r="AO92" s="116"/>
      <c r="AP92" s="116"/>
      <c r="AQ92" s="116"/>
      <c r="AR92" s="116"/>
      <c r="AS92" s="116"/>
      <c r="AT92" s="116"/>
      <c r="AU92" s="116"/>
      <c r="AV92" s="116"/>
      <c r="AW92" s="116"/>
      <c r="AX92" s="116"/>
      <c r="AY92" s="116"/>
      <c r="AZ92" s="116"/>
      <c r="BA92" s="116"/>
      <c r="BB92" s="116"/>
      <c r="BC92" s="116"/>
      <c r="BD92" s="116"/>
      <c r="BE92" s="116"/>
      <c r="BF92" s="116"/>
      <c r="BG92" s="116"/>
      <c r="BH92" s="116"/>
      <c r="BI92" s="116"/>
      <c r="BJ92" s="116"/>
      <c r="BK92" s="116"/>
      <c r="BL92" s="116"/>
      <c r="BM92" s="116"/>
      <c r="BN92" s="116"/>
      <c r="BO92" s="116"/>
      <c r="BP92" s="116"/>
      <c r="BQ92" s="116"/>
      <c r="BR92" s="116"/>
      <c r="BS92" s="116"/>
      <c r="BT92" s="116"/>
      <c r="BU92" s="116"/>
      <c r="BV92" s="116"/>
      <c r="BW92" s="116"/>
      <c r="BX92" s="116"/>
      <c r="BY92" s="116"/>
      <c r="BZ92" s="116"/>
      <c r="CA92" s="116"/>
      <c r="CB92" s="116"/>
      <c r="CC92" s="116"/>
      <c r="CD92" s="116"/>
      <c r="CE92" s="116"/>
      <c r="CF92" s="116"/>
      <c r="CG92" s="116"/>
      <c r="CH92" s="116"/>
      <c r="CI92" s="116"/>
      <c r="CJ92" s="116"/>
      <c r="CK92" s="116"/>
      <c r="CL92" s="114"/>
    </row>
    <row r="93" spans="1:90" x14ac:dyDescent="0.3">
      <c r="A93" s="114"/>
      <c r="B93" s="116"/>
      <c r="C93" s="116"/>
      <c r="D93" s="116"/>
      <c r="E93" s="116"/>
      <c r="F93" s="116"/>
      <c r="G93" s="116"/>
      <c r="H93" s="116"/>
      <c r="I93" s="116"/>
      <c r="J93" s="116"/>
      <c r="K93" s="116"/>
      <c r="L93" s="116"/>
      <c r="M93" s="116"/>
      <c r="N93" s="116"/>
      <c r="O93" s="116"/>
      <c r="P93" s="116"/>
      <c r="Q93" s="116"/>
      <c r="R93" s="116"/>
      <c r="S93" s="116"/>
      <c r="T93" s="116"/>
      <c r="U93" s="116"/>
      <c r="V93" s="116"/>
      <c r="W93" s="116"/>
      <c r="X93" s="116"/>
      <c r="Y93" s="116"/>
      <c r="Z93" s="116"/>
      <c r="AA93" s="116"/>
      <c r="AB93" s="116"/>
      <c r="AC93" s="116"/>
      <c r="AD93" s="116"/>
      <c r="AE93" s="116"/>
      <c r="AF93" s="116"/>
      <c r="AG93" s="116"/>
      <c r="AH93" s="116"/>
      <c r="AI93" s="116"/>
      <c r="AJ93" s="116"/>
      <c r="AK93" s="116"/>
      <c r="AL93" s="116"/>
      <c r="AM93" s="116"/>
      <c r="AN93" s="116"/>
      <c r="AO93" s="116"/>
      <c r="AP93" s="116"/>
      <c r="AQ93" s="116"/>
      <c r="AR93" s="116"/>
      <c r="AS93" s="116"/>
      <c r="AT93" s="116"/>
      <c r="AU93" s="116"/>
      <c r="AV93" s="116"/>
      <c r="AW93" s="116"/>
      <c r="AX93" s="116"/>
      <c r="AY93" s="116"/>
      <c r="AZ93" s="116"/>
      <c r="BA93" s="116"/>
      <c r="BB93" s="116"/>
      <c r="BC93" s="116"/>
      <c r="BD93" s="116"/>
      <c r="BE93" s="116"/>
      <c r="BF93" s="116"/>
      <c r="BG93" s="116"/>
      <c r="BH93" s="116"/>
      <c r="BI93" s="116"/>
      <c r="BJ93" s="116"/>
      <c r="BK93" s="116"/>
      <c r="BL93" s="116"/>
      <c r="BM93" s="116"/>
      <c r="BN93" s="116"/>
      <c r="BO93" s="116"/>
      <c r="BP93" s="116"/>
      <c r="BQ93" s="116"/>
      <c r="BR93" s="116"/>
      <c r="BS93" s="116"/>
      <c r="BT93" s="116"/>
      <c r="BU93" s="116"/>
      <c r="BV93" s="116"/>
      <c r="BW93" s="116"/>
      <c r="BX93" s="116"/>
      <c r="BY93" s="116"/>
      <c r="BZ93" s="116"/>
      <c r="CA93" s="116"/>
      <c r="CB93" s="116"/>
      <c r="CC93" s="116"/>
      <c r="CD93" s="116"/>
      <c r="CE93" s="116"/>
      <c r="CF93" s="116"/>
      <c r="CG93" s="116"/>
      <c r="CH93" s="116"/>
      <c r="CI93" s="116"/>
      <c r="CJ93" s="116"/>
      <c r="CK93" s="116"/>
      <c r="CL93" s="114"/>
    </row>
    <row r="94" spans="1:90" x14ac:dyDescent="0.3">
      <c r="A94" s="114"/>
      <c r="B94" s="116"/>
      <c r="C94" s="116"/>
      <c r="D94" s="116"/>
      <c r="E94" s="116"/>
      <c r="F94" s="116"/>
      <c r="G94" s="116"/>
      <c r="H94" s="116"/>
      <c r="I94" s="116"/>
      <c r="J94" s="116"/>
      <c r="K94" s="116"/>
      <c r="L94" s="116"/>
      <c r="M94" s="116"/>
      <c r="N94" s="116"/>
      <c r="O94" s="116"/>
      <c r="P94" s="116"/>
      <c r="Q94" s="116"/>
      <c r="R94" s="116"/>
      <c r="S94" s="116"/>
      <c r="T94" s="116"/>
      <c r="U94" s="116"/>
      <c r="V94" s="116"/>
      <c r="W94" s="116"/>
      <c r="X94" s="116"/>
      <c r="Y94" s="116"/>
      <c r="Z94" s="116"/>
      <c r="AA94" s="116"/>
      <c r="AB94" s="116"/>
      <c r="AC94" s="116"/>
      <c r="AD94" s="116"/>
      <c r="AE94" s="116"/>
      <c r="AF94" s="116"/>
      <c r="AG94" s="116"/>
      <c r="AH94" s="116"/>
      <c r="AI94" s="116"/>
      <c r="AJ94" s="116"/>
      <c r="AK94" s="116"/>
      <c r="AL94" s="116"/>
      <c r="AM94" s="116"/>
      <c r="AN94" s="116"/>
      <c r="AO94" s="116"/>
      <c r="AP94" s="116"/>
      <c r="AQ94" s="116"/>
      <c r="AR94" s="116"/>
      <c r="AS94" s="116"/>
      <c r="AT94" s="116"/>
      <c r="AU94" s="116"/>
      <c r="AV94" s="116"/>
      <c r="AW94" s="116"/>
      <c r="AX94" s="116"/>
      <c r="AY94" s="116"/>
      <c r="AZ94" s="116"/>
      <c r="BA94" s="116"/>
      <c r="BB94" s="116"/>
      <c r="BC94" s="116"/>
      <c r="BD94" s="116"/>
      <c r="BE94" s="116"/>
      <c r="BF94" s="116"/>
      <c r="BG94" s="116"/>
      <c r="BH94" s="116"/>
      <c r="BI94" s="116"/>
      <c r="BJ94" s="116"/>
      <c r="BK94" s="116"/>
      <c r="BL94" s="116"/>
      <c r="BM94" s="116"/>
      <c r="BN94" s="116"/>
      <c r="BO94" s="116"/>
      <c r="BP94" s="116"/>
      <c r="BQ94" s="116"/>
      <c r="BR94" s="116"/>
      <c r="BS94" s="116"/>
      <c r="BT94" s="116"/>
      <c r="BU94" s="116"/>
      <c r="BV94" s="116"/>
      <c r="BW94" s="116"/>
      <c r="BX94" s="116"/>
      <c r="BY94" s="116"/>
      <c r="BZ94" s="116"/>
      <c r="CA94" s="116"/>
      <c r="CB94" s="116"/>
      <c r="CC94" s="116"/>
      <c r="CD94" s="116"/>
      <c r="CE94" s="116"/>
      <c r="CF94" s="116"/>
      <c r="CG94" s="116"/>
      <c r="CH94" s="116"/>
      <c r="CI94" s="116"/>
      <c r="CJ94" s="116"/>
      <c r="CK94" s="116"/>
      <c r="CL94" s="114"/>
    </row>
    <row r="95" spans="1:90" x14ac:dyDescent="0.3">
      <c r="A95" s="114"/>
      <c r="B95" s="116"/>
      <c r="C95" s="116"/>
      <c r="D95" s="116"/>
      <c r="E95" s="116"/>
      <c r="F95" s="116"/>
      <c r="G95" s="116"/>
      <c r="H95" s="116"/>
      <c r="I95" s="116"/>
      <c r="J95" s="116"/>
      <c r="K95" s="116"/>
      <c r="L95" s="116"/>
      <c r="M95" s="116"/>
      <c r="N95" s="116"/>
      <c r="O95" s="116"/>
      <c r="P95" s="116"/>
      <c r="Q95" s="116"/>
      <c r="R95" s="116"/>
      <c r="S95" s="116"/>
      <c r="T95" s="116"/>
      <c r="U95" s="116"/>
      <c r="V95" s="116"/>
      <c r="W95" s="116"/>
      <c r="X95" s="116"/>
      <c r="Y95" s="116"/>
      <c r="Z95" s="116"/>
      <c r="AA95" s="116"/>
      <c r="AB95" s="116"/>
      <c r="AC95" s="116"/>
      <c r="AD95" s="116"/>
      <c r="AE95" s="116"/>
      <c r="AF95" s="116"/>
      <c r="AG95" s="116"/>
      <c r="AH95" s="116"/>
      <c r="AI95" s="116"/>
      <c r="AJ95" s="116"/>
      <c r="AK95" s="116"/>
      <c r="AL95" s="116"/>
      <c r="AM95" s="116"/>
      <c r="AN95" s="116"/>
      <c r="AO95" s="116"/>
      <c r="AP95" s="116"/>
      <c r="AQ95" s="116"/>
      <c r="AR95" s="116"/>
      <c r="AS95" s="116"/>
      <c r="AT95" s="116"/>
      <c r="AU95" s="116"/>
      <c r="AV95" s="116"/>
      <c r="AW95" s="116"/>
      <c r="AX95" s="116"/>
      <c r="AY95" s="116"/>
      <c r="AZ95" s="116"/>
      <c r="BA95" s="116"/>
      <c r="BB95" s="116"/>
      <c r="BC95" s="116"/>
      <c r="BD95" s="116"/>
      <c r="BE95" s="116"/>
      <c r="BF95" s="116"/>
      <c r="BG95" s="116"/>
      <c r="BH95" s="116"/>
      <c r="BI95" s="116"/>
      <c r="BJ95" s="116"/>
      <c r="BK95" s="116"/>
      <c r="BL95" s="116"/>
      <c r="BM95" s="116"/>
      <c r="BN95" s="116"/>
      <c r="BO95" s="116"/>
      <c r="BP95" s="116"/>
      <c r="BQ95" s="116"/>
      <c r="BR95" s="116"/>
      <c r="BS95" s="116"/>
      <c r="BT95" s="116"/>
      <c r="BU95" s="116"/>
      <c r="BV95" s="116"/>
      <c r="BW95" s="116"/>
      <c r="BX95" s="116"/>
      <c r="BY95" s="116"/>
      <c r="BZ95" s="116"/>
      <c r="CA95" s="116"/>
      <c r="CB95" s="116"/>
      <c r="CC95" s="116"/>
      <c r="CD95" s="116"/>
      <c r="CE95" s="116"/>
      <c r="CF95" s="116"/>
      <c r="CG95" s="116"/>
      <c r="CH95" s="116"/>
      <c r="CI95" s="116"/>
      <c r="CJ95" s="116"/>
      <c r="CK95" s="116"/>
      <c r="CL95" s="114"/>
    </row>
    <row r="96" spans="1:90" x14ac:dyDescent="0.3">
      <c r="A96" s="114"/>
      <c r="B96" s="116"/>
      <c r="C96" s="116"/>
      <c r="D96" s="116"/>
      <c r="E96" s="116"/>
      <c r="F96" s="116"/>
      <c r="G96" s="116"/>
      <c r="H96" s="116"/>
      <c r="I96" s="116"/>
      <c r="J96" s="116"/>
      <c r="K96" s="116"/>
      <c r="L96" s="116"/>
      <c r="M96" s="116"/>
      <c r="N96" s="116"/>
      <c r="O96" s="116"/>
      <c r="P96" s="116"/>
      <c r="Q96" s="116"/>
      <c r="R96" s="116"/>
      <c r="S96" s="116"/>
      <c r="T96" s="116"/>
      <c r="U96" s="116"/>
      <c r="V96" s="116"/>
      <c r="W96" s="116"/>
      <c r="X96" s="116"/>
      <c r="Y96" s="116"/>
      <c r="Z96" s="116"/>
      <c r="AA96" s="116"/>
      <c r="AB96" s="116"/>
      <c r="AC96" s="116"/>
      <c r="AD96" s="116"/>
      <c r="AE96" s="116"/>
      <c r="AF96" s="116"/>
      <c r="AG96" s="116"/>
      <c r="AH96" s="116"/>
      <c r="AI96" s="116"/>
      <c r="AJ96" s="116"/>
      <c r="AK96" s="116"/>
      <c r="AL96" s="116"/>
      <c r="AM96" s="116"/>
      <c r="AN96" s="116"/>
      <c r="AO96" s="116"/>
      <c r="AP96" s="116"/>
      <c r="AQ96" s="116"/>
      <c r="AR96" s="116"/>
      <c r="AS96" s="116"/>
      <c r="AT96" s="116"/>
      <c r="AU96" s="116"/>
      <c r="AV96" s="116"/>
      <c r="AW96" s="116"/>
      <c r="AX96" s="116"/>
      <c r="AY96" s="116"/>
      <c r="AZ96" s="116"/>
      <c r="BA96" s="116"/>
      <c r="BB96" s="116"/>
      <c r="BC96" s="116"/>
      <c r="BD96" s="116"/>
      <c r="BE96" s="116"/>
      <c r="BF96" s="116"/>
      <c r="BG96" s="116"/>
      <c r="BH96" s="116"/>
      <c r="BI96" s="116"/>
      <c r="BJ96" s="116"/>
      <c r="BK96" s="116"/>
      <c r="BL96" s="116"/>
      <c r="BM96" s="116"/>
      <c r="BN96" s="116"/>
      <c r="BO96" s="116"/>
      <c r="BP96" s="116"/>
      <c r="BQ96" s="116"/>
      <c r="BR96" s="116"/>
      <c r="BS96" s="116"/>
      <c r="BT96" s="116"/>
      <c r="BU96" s="116"/>
      <c r="BV96" s="116"/>
      <c r="BW96" s="116"/>
      <c r="BX96" s="116"/>
      <c r="BY96" s="116"/>
      <c r="BZ96" s="116"/>
      <c r="CA96" s="116"/>
      <c r="CB96" s="116"/>
      <c r="CC96" s="116"/>
      <c r="CD96" s="116"/>
      <c r="CE96" s="116"/>
      <c r="CF96" s="116"/>
      <c r="CG96" s="116"/>
      <c r="CH96" s="116"/>
      <c r="CI96" s="116"/>
      <c r="CJ96" s="116"/>
      <c r="CK96" s="116"/>
      <c r="CL96" s="114"/>
    </row>
    <row r="97" spans="1:90" x14ac:dyDescent="0.3">
      <c r="A97" s="114"/>
      <c r="B97" s="116"/>
      <c r="C97" s="116"/>
      <c r="D97" s="116"/>
      <c r="E97" s="116"/>
      <c r="F97" s="116"/>
      <c r="G97" s="116"/>
      <c r="H97" s="116"/>
      <c r="I97" s="116"/>
      <c r="J97" s="116"/>
      <c r="K97" s="116"/>
      <c r="L97" s="116"/>
      <c r="M97" s="116"/>
      <c r="N97" s="116"/>
      <c r="O97" s="116"/>
      <c r="P97" s="116"/>
      <c r="Q97" s="116"/>
      <c r="R97" s="116"/>
      <c r="S97" s="116"/>
      <c r="T97" s="116"/>
      <c r="U97" s="116"/>
      <c r="V97" s="116"/>
      <c r="W97" s="116"/>
      <c r="X97" s="116"/>
      <c r="Y97" s="116"/>
      <c r="Z97" s="116"/>
      <c r="AA97" s="116"/>
      <c r="AB97" s="116"/>
      <c r="AC97" s="116"/>
      <c r="AD97" s="116"/>
      <c r="AE97" s="116"/>
      <c r="AF97" s="116"/>
      <c r="AG97" s="116"/>
      <c r="AH97" s="116"/>
      <c r="AI97" s="116"/>
      <c r="AJ97" s="116"/>
      <c r="AK97" s="116"/>
      <c r="AL97" s="116"/>
      <c r="AM97" s="116"/>
      <c r="AN97" s="116"/>
      <c r="AO97" s="116"/>
      <c r="AP97" s="116"/>
      <c r="AQ97" s="116"/>
      <c r="AR97" s="116"/>
      <c r="AS97" s="116"/>
      <c r="AT97" s="116"/>
      <c r="AU97" s="116"/>
      <c r="AV97" s="116"/>
      <c r="AW97" s="116"/>
      <c r="AX97" s="116"/>
      <c r="AY97" s="116"/>
      <c r="AZ97" s="116"/>
      <c r="BA97" s="116"/>
      <c r="BB97" s="116"/>
      <c r="BC97" s="116"/>
      <c r="BD97" s="116"/>
      <c r="BE97" s="116"/>
      <c r="BF97" s="116"/>
      <c r="BG97" s="116"/>
      <c r="BH97" s="116"/>
      <c r="BI97" s="116"/>
      <c r="BJ97" s="116"/>
      <c r="BK97" s="116"/>
      <c r="BL97" s="116"/>
      <c r="BM97" s="116"/>
      <c r="BN97" s="116"/>
      <c r="BO97" s="116"/>
      <c r="BP97" s="116"/>
      <c r="BQ97" s="116"/>
      <c r="BR97" s="116"/>
      <c r="BS97" s="116"/>
      <c r="BT97" s="116"/>
      <c r="BU97" s="116"/>
      <c r="BV97" s="116"/>
      <c r="BW97" s="116"/>
      <c r="BX97" s="116"/>
      <c r="BY97" s="116"/>
      <c r="BZ97" s="116"/>
      <c r="CA97" s="116"/>
      <c r="CB97" s="116"/>
      <c r="CC97" s="116"/>
      <c r="CD97" s="116"/>
      <c r="CE97" s="116"/>
      <c r="CF97" s="116"/>
      <c r="CG97" s="116"/>
      <c r="CH97" s="116"/>
      <c r="CI97" s="116"/>
      <c r="CJ97" s="116"/>
      <c r="CK97" s="116"/>
      <c r="CL97" s="114"/>
    </row>
    <row r="98" spans="1:90" x14ac:dyDescent="0.3">
      <c r="A98" s="114"/>
      <c r="B98" s="116"/>
      <c r="C98" s="116"/>
      <c r="D98" s="116"/>
      <c r="E98" s="116"/>
      <c r="F98" s="116"/>
      <c r="G98" s="116"/>
      <c r="H98" s="116"/>
      <c r="I98" s="116"/>
      <c r="J98" s="116"/>
      <c r="K98" s="116"/>
      <c r="L98" s="116"/>
      <c r="M98" s="116"/>
      <c r="N98" s="116"/>
      <c r="O98" s="116"/>
      <c r="P98" s="116"/>
      <c r="Q98" s="116"/>
      <c r="R98" s="116"/>
      <c r="S98" s="116"/>
      <c r="T98" s="116"/>
      <c r="U98" s="116"/>
      <c r="V98" s="116"/>
      <c r="W98" s="116"/>
      <c r="X98" s="116"/>
      <c r="Y98" s="116"/>
      <c r="Z98" s="116"/>
      <c r="AA98" s="116"/>
      <c r="AB98" s="116"/>
      <c r="AC98" s="116"/>
      <c r="AD98" s="116"/>
      <c r="AE98" s="116"/>
      <c r="AF98" s="116"/>
      <c r="AG98" s="116"/>
      <c r="AH98" s="116"/>
      <c r="AI98" s="116"/>
      <c r="AJ98" s="116"/>
      <c r="AK98" s="116"/>
      <c r="AL98" s="116"/>
      <c r="AM98" s="116"/>
      <c r="AN98" s="116"/>
      <c r="AO98" s="116"/>
      <c r="AP98" s="116"/>
      <c r="AQ98" s="116"/>
      <c r="AR98" s="116"/>
      <c r="AS98" s="116"/>
      <c r="AT98" s="116"/>
      <c r="AU98" s="116"/>
      <c r="AV98" s="116"/>
      <c r="AW98" s="116"/>
      <c r="AX98" s="116"/>
      <c r="AY98" s="116"/>
      <c r="AZ98" s="116"/>
      <c r="BA98" s="116"/>
      <c r="BB98" s="116"/>
      <c r="BC98" s="116"/>
      <c r="BD98" s="116"/>
      <c r="BE98" s="116"/>
      <c r="BF98" s="116"/>
      <c r="BG98" s="116"/>
      <c r="BH98" s="116"/>
      <c r="BI98" s="116"/>
      <c r="BJ98" s="116"/>
      <c r="BK98" s="116"/>
      <c r="BL98" s="116"/>
      <c r="BM98" s="116"/>
      <c r="BN98" s="116"/>
      <c r="BO98" s="116"/>
      <c r="BP98" s="116"/>
      <c r="BQ98" s="116"/>
      <c r="BR98" s="116"/>
      <c r="BS98" s="116"/>
      <c r="BT98" s="116"/>
      <c r="BU98" s="116"/>
      <c r="BV98" s="116"/>
      <c r="BW98" s="116"/>
      <c r="BX98" s="116"/>
      <c r="BY98" s="116"/>
      <c r="BZ98" s="116"/>
      <c r="CA98" s="116"/>
      <c r="CB98" s="116"/>
      <c r="CC98" s="116"/>
      <c r="CD98" s="116"/>
      <c r="CE98" s="116"/>
      <c r="CF98" s="116"/>
      <c r="CG98" s="116"/>
      <c r="CH98" s="116"/>
      <c r="CI98" s="116"/>
      <c r="CJ98" s="116"/>
      <c r="CK98" s="116"/>
      <c r="CL98" s="114"/>
    </row>
    <row r="99" spans="1:90" x14ac:dyDescent="0.3">
      <c r="A99" s="114"/>
      <c r="B99" s="114"/>
      <c r="CK99" s="114"/>
      <c r="CL99" s="114"/>
    </row>
    <row r="100" spans="1:90" x14ac:dyDescent="0.3">
      <c r="A100" s="114"/>
      <c r="B100" s="114"/>
      <c r="CK100" s="114"/>
      <c r="CL100" s="114"/>
    </row>
    <row r="101" spans="1:90" x14ac:dyDescent="0.3">
      <c r="A101" s="114"/>
      <c r="B101" s="114"/>
      <c r="CK101" s="114"/>
      <c r="CL101" s="114"/>
    </row>
    <row r="102" spans="1:90" x14ac:dyDescent="0.3">
      <c r="A102" s="114"/>
      <c r="B102" s="114"/>
      <c r="CK102" s="114"/>
      <c r="CL102" s="114"/>
    </row>
    <row r="103" spans="1:90" x14ac:dyDescent="0.3">
      <c r="A103" s="114"/>
      <c r="B103" s="114"/>
      <c r="CK103" s="114"/>
      <c r="CL103" s="114"/>
    </row>
    <row r="104" spans="1:90" x14ac:dyDescent="0.3">
      <c r="A104" s="114"/>
      <c r="B104" s="114"/>
      <c r="CK104" s="114"/>
      <c r="CL104" s="114"/>
    </row>
    <row r="105" spans="1:90" x14ac:dyDescent="0.3">
      <c r="A105" s="114"/>
      <c r="B105" s="114"/>
      <c r="CK105" s="114"/>
      <c r="CL105" s="114"/>
    </row>
    <row r="106" spans="1:90" x14ac:dyDescent="0.3">
      <c r="A106" s="114"/>
      <c r="B106" s="114"/>
      <c r="CK106" s="114"/>
      <c r="CL106" s="114"/>
    </row>
    <row r="107" spans="1:90" x14ac:dyDescent="0.3">
      <c r="A107" s="114"/>
      <c r="B107" s="114"/>
      <c r="CK107" s="114"/>
      <c r="CL107" s="114"/>
    </row>
    <row r="108" spans="1:90" x14ac:dyDescent="0.3">
      <c r="A108" s="114"/>
      <c r="B108" s="114"/>
      <c r="CK108" s="114"/>
      <c r="CL108" s="114"/>
    </row>
    <row r="109" spans="1:90" x14ac:dyDescent="0.3">
      <c r="A109" s="114"/>
      <c r="B109" s="114"/>
      <c r="CK109" s="114"/>
      <c r="CL109" s="114"/>
    </row>
    <row r="110" spans="1:90" x14ac:dyDescent="0.3">
      <c r="A110" s="114"/>
      <c r="B110" s="114"/>
      <c r="CK110" s="114"/>
      <c r="CL110" s="114"/>
    </row>
    <row r="111" spans="1:90" x14ac:dyDescent="0.3">
      <c r="A111" s="114"/>
      <c r="B111" s="114"/>
      <c r="CK111" s="114"/>
      <c r="CL111" s="114"/>
    </row>
    <row r="112" spans="1:90" x14ac:dyDescent="0.3">
      <c r="A112" s="114"/>
      <c r="B112" s="114"/>
      <c r="CK112" s="114"/>
      <c r="CL112" s="114"/>
    </row>
    <row r="113" spans="1:90" x14ac:dyDescent="0.3">
      <c r="A113" s="114"/>
      <c r="B113" s="114"/>
      <c r="CK113" s="114"/>
      <c r="CL113" s="114"/>
    </row>
    <row r="114" spans="1:90" x14ac:dyDescent="0.3">
      <c r="A114" s="114"/>
      <c r="B114" s="114"/>
      <c r="CK114" s="114"/>
      <c r="CL114" s="114"/>
    </row>
    <row r="115" spans="1:90" x14ac:dyDescent="0.3">
      <c r="A115" s="114"/>
      <c r="B115" s="114"/>
      <c r="CK115" s="114"/>
      <c r="CL115" s="114"/>
    </row>
    <row r="116" spans="1:90" x14ac:dyDescent="0.3">
      <c r="A116" s="114"/>
      <c r="B116" s="114"/>
      <c r="CK116" s="114"/>
      <c r="CL116" s="114"/>
    </row>
    <row r="117" spans="1:90" x14ac:dyDescent="0.3">
      <c r="A117" s="114"/>
      <c r="B117" s="114"/>
      <c r="CK117" s="114"/>
      <c r="CL117" s="114"/>
    </row>
    <row r="118" spans="1:90" x14ac:dyDescent="0.3">
      <c r="A118" s="114"/>
      <c r="B118" s="114"/>
      <c r="CK118" s="114"/>
      <c r="CL118" s="114"/>
    </row>
    <row r="119" spans="1:90" x14ac:dyDescent="0.3">
      <c r="A119" s="114"/>
      <c r="B119" s="114"/>
      <c r="CK119" s="114"/>
      <c r="CL119" s="114"/>
    </row>
    <row r="120" spans="1:90" x14ac:dyDescent="0.3">
      <c r="A120" s="114"/>
      <c r="B120" s="114"/>
      <c r="CK120" s="114"/>
      <c r="CL120" s="114"/>
    </row>
    <row r="121" spans="1:90" x14ac:dyDescent="0.3">
      <c r="A121" s="114"/>
      <c r="B121" s="114"/>
      <c r="CK121" s="114"/>
      <c r="CL121" s="114"/>
    </row>
    <row r="122" spans="1:90" x14ac:dyDescent="0.3">
      <c r="A122" s="114"/>
      <c r="B122" s="114"/>
      <c r="CK122" s="114"/>
      <c r="CL122" s="114"/>
    </row>
    <row r="123" spans="1:90" x14ac:dyDescent="0.3">
      <c r="A123" s="114"/>
      <c r="B123" s="114"/>
      <c r="CK123" s="114"/>
      <c r="CL123" s="114"/>
    </row>
    <row r="124" spans="1:90" x14ac:dyDescent="0.3">
      <c r="A124" s="114"/>
      <c r="B124" s="114"/>
      <c r="CK124" s="114"/>
      <c r="CL124" s="114"/>
    </row>
    <row r="125" spans="1:90" x14ac:dyDescent="0.3">
      <c r="A125" s="114"/>
      <c r="B125" s="114"/>
      <c r="CK125" s="114"/>
      <c r="CL125" s="114"/>
    </row>
    <row r="126" spans="1:90" x14ac:dyDescent="0.3">
      <c r="A126" s="114"/>
      <c r="B126" s="114"/>
      <c r="CK126" s="114"/>
      <c r="CL126" s="114"/>
    </row>
    <row r="127" spans="1:90" x14ac:dyDescent="0.3">
      <c r="A127" s="114"/>
      <c r="B127" s="114"/>
      <c r="CK127" s="114"/>
      <c r="CL127" s="114"/>
    </row>
    <row r="128" spans="1:90" x14ac:dyDescent="0.3">
      <c r="A128" s="114"/>
      <c r="B128" s="114"/>
      <c r="CK128" s="114"/>
      <c r="CL128" s="114"/>
    </row>
    <row r="129" spans="1:90" x14ac:dyDescent="0.3">
      <c r="A129" s="114"/>
      <c r="B129" s="114"/>
      <c r="CK129" s="114"/>
      <c r="CL129" s="114"/>
    </row>
    <row r="130" spans="1:90" x14ac:dyDescent="0.3">
      <c r="A130" s="114"/>
      <c r="B130" s="114"/>
      <c r="CK130" s="114"/>
      <c r="CL130" s="114"/>
    </row>
    <row r="131" spans="1:90" x14ac:dyDescent="0.3">
      <c r="A131" s="114"/>
      <c r="B131" s="114"/>
      <c r="CK131" s="114"/>
      <c r="CL131" s="114"/>
    </row>
    <row r="132" spans="1:90" x14ac:dyDescent="0.3">
      <c r="A132" s="114"/>
      <c r="B132" s="114"/>
      <c r="CK132" s="114"/>
      <c r="CL132" s="114"/>
    </row>
    <row r="133" spans="1:90" x14ac:dyDescent="0.3">
      <c r="A133" s="114"/>
      <c r="B133" s="114"/>
      <c r="CK133" s="114"/>
      <c r="CL133" s="114"/>
    </row>
    <row r="134" spans="1:90" x14ac:dyDescent="0.3">
      <c r="A134" s="114"/>
      <c r="B134" s="114"/>
      <c r="CK134" s="114"/>
      <c r="CL134" s="114"/>
    </row>
    <row r="135" spans="1:90" x14ac:dyDescent="0.3">
      <c r="A135" s="114"/>
      <c r="B135" s="114"/>
      <c r="CK135" s="114"/>
      <c r="CL135" s="114"/>
    </row>
    <row r="136" spans="1:90" x14ac:dyDescent="0.3">
      <c r="A136" s="114"/>
      <c r="B136" s="114"/>
      <c r="CK136" s="114"/>
      <c r="CL136" s="114"/>
    </row>
    <row r="137" spans="1:90" x14ac:dyDescent="0.3">
      <c r="A137" s="114"/>
      <c r="B137" s="114"/>
      <c r="CK137" s="114"/>
      <c r="CL137" s="114"/>
    </row>
    <row r="138" spans="1:90" x14ac:dyDescent="0.3">
      <c r="A138" s="114"/>
      <c r="B138" s="114"/>
      <c r="CK138" s="114"/>
      <c r="CL138" s="114"/>
    </row>
    <row r="139" spans="1:90" x14ac:dyDescent="0.3">
      <c r="A139" s="114"/>
      <c r="B139" s="114"/>
      <c r="CK139" s="114"/>
      <c r="CL139" s="114"/>
    </row>
    <row r="140" spans="1:90" x14ac:dyDescent="0.3">
      <c r="A140" s="114"/>
      <c r="B140" s="114"/>
      <c r="CK140" s="114"/>
      <c r="CL140" s="114"/>
    </row>
    <row r="141" spans="1:90" x14ac:dyDescent="0.3">
      <c r="A141" s="114"/>
      <c r="B141" s="114"/>
      <c r="CK141" s="114"/>
      <c r="CL141" s="114"/>
    </row>
    <row r="142" spans="1:90" x14ac:dyDescent="0.3">
      <c r="A142" s="114"/>
      <c r="B142" s="114"/>
      <c r="CK142" s="114"/>
      <c r="CL142" s="114"/>
    </row>
    <row r="143" spans="1:90" x14ac:dyDescent="0.3">
      <c r="A143" s="114"/>
      <c r="B143" s="114"/>
      <c r="CK143" s="114"/>
      <c r="CL143" s="114"/>
    </row>
    <row r="144" spans="1:90" x14ac:dyDescent="0.3">
      <c r="A144" s="114"/>
      <c r="B144" s="114"/>
      <c r="CK144" s="114"/>
      <c r="CL144" s="114"/>
    </row>
    <row r="145" spans="1:90" x14ac:dyDescent="0.3">
      <c r="A145" s="114"/>
      <c r="B145" s="114"/>
      <c r="CK145" s="114"/>
      <c r="CL145" s="114"/>
    </row>
    <row r="146" spans="1:90" x14ac:dyDescent="0.3">
      <c r="A146" s="114"/>
      <c r="B146" s="114"/>
      <c r="CK146" s="114"/>
      <c r="CL146" s="114"/>
    </row>
    <row r="147" spans="1:90" x14ac:dyDescent="0.3">
      <c r="A147" s="114"/>
      <c r="B147" s="114"/>
      <c r="CK147" s="114"/>
      <c r="CL147" s="114"/>
    </row>
    <row r="148" spans="1:90" x14ac:dyDescent="0.3">
      <c r="A148" s="114"/>
      <c r="B148" s="114"/>
      <c r="CK148" s="114"/>
      <c r="CL148" s="114"/>
    </row>
    <row r="149" spans="1:90" x14ac:dyDescent="0.3">
      <c r="A149" s="114"/>
      <c r="B149" s="114"/>
      <c r="CK149" s="114"/>
      <c r="CL149" s="114"/>
    </row>
    <row r="150" spans="1:90" x14ac:dyDescent="0.3">
      <c r="A150" s="114"/>
      <c r="B150" s="114"/>
      <c r="CK150" s="114"/>
      <c r="CL150" s="114"/>
    </row>
    <row r="151" spans="1:90" x14ac:dyDescent="0.3">
      <c r="A151" s="114"/>
      <c r="B151" s="114"/>
      <c r="CK151" s="114"/>
      <c r="CL151" s="114"/>
    </row>
    <row r="152" spans="1:90" x14ac:dyDescent="0.3">
      <c r="A152" s="114"/>
      <c r="B152" s="114"/>
      <c r="CK152" s="114"/>
      <c r="CL152" s="114"/>
    </row>
    <row r="153" spans="1:90" x14ac:dyDescent="0.3">
      <c r="A153" s="114"/>
      <c r="B153" s="114"/>
      <c r="CK153" s="114"/>
      <c r="CL153" s="114"/>
    </row>
    <row r="154" spans="1:90" x14ac:dyDescent="0.3">
      <c r="A154" s="114"/>
      <c r="B154" s="114"/>
      <c r="CK154" s="114"/>
      <c r="CL154" s="114"/>
    </row>
    <row r="155" spans="1:90" x14ac:dyDescent="0.3">
      <c r="A155" s="114"/>
      <c r="B155" s="114"/>
      <c r="CK155" s="114"/>
      <c r="CL155" s="114"/>
    </row>
    <row r="156" spans="1:90" x14ac:dyDescent="0.3">
      <c r="A156" s="114"/>
      <c r="B156" s="114"/>
      <c r="CK156" s="114"/>
      <c r="CL156" s="114"/>
    </row>
    <row r="157" spans="1:90" x14ac:dyDescent="0.3">
      <c r="A157" s="114"/>
      <c r="B157" s="114"/>
      <c r="CK157" s="114"/>
      <c r="CL157" s="114"/>
    </row>
    <row r="158" spans="1:90" x14ac:dyDescent="0.3">
      <c r="A158" s="114"/>
      <c r="B158" s="114"/>
      <c r="CK158" s="114"/>
      <c r="CL158" s="114"/>
    </row>
    <row r="159" spans="1:90" x14ac:dyDescent="0.3">
      <c r="A159" s="114"/>
      <c r="B159" s="114"/>
      <c r="CK159" s="114"/>
      <c r="CL159" s="114"/>
    </row>
    <row r="160" spans="1:90" x14ac:dyDescent="0.3">
      <c r="A160" s="114"/>
      <c r="B160" s="114"/>
      <c r="CK160" s="114"/>
      <c r="CL160" s="114"/>
    </row>
    <row r="161" spans="1:90" x14ac:dyDescent="0.3">
      <c r="A161" s="114"/>
      <c r="B161" s="114"/>
      <c r="CK161" s="114"/>
      <c r="CL161" s="114"/>
    </row>
    <row r="162" spans="1:90" x14ac:dyDescent="0.3">
      <c r="A162" s="114"/>
      <c r="B162" s="114"/>
      <c r="CK162" s="114"/>
      <c r="CL162" s="114"/>
    </row>
    <row r="163" spans="1:90" x14ac:dyDescent="0.3">
      <c r="A163" s="114"/>
      <c r="B163" s="114"/>
      <c r="CK163" s="114"/>
      <c r="CL163" s="114"/>
    </row>
    <row r="164" spans="1:90" x14ac:dyDescent="0.3">
      <c r="A164" s="114"/>
      <c r="B164" s="114"/>
      <c r="CK164" s="114"/>
      <c r="CL164" s="114"/>
    </row>
    <row r="165" spans="1:90" x14ac:dyDescent="0.3">
      <c r="A165" s="114"/>
      <c r="B165" s="114"/>
      <c r="CK165" s="114"/>
      <c r="CL165" s="114"/>
    </row>
    <row r="166" spans="1:90" x14ac:dyDescent="0.3">
      <c r="A166" s="114"/>
      <c r="B166" s="114"/>
      <c r="CK166" s="114"/>
      <c r="CL166" s="114"/>
    </row>
    <row r="167" spans="1:90" x14ac:dyDescent="0.3">
      <c r="A167" s="114"/>
      <c r="B167" s="114"/>
      <c r="CK167" s="114"/>
      <c r="CL167" s="114"/>
    </row>
    <row r="168" spans="1:90" x14ac:dyDescent="0.3">
      <c r="A168" s="114"/>
      <c r="B168" s="114"/>
      <c r="CK168" s="114"/>
      <c r="CL168" s="114"/>
    </row>
    <row r="169" spans="1:90" x14ac:dyDescent="0.3">
      <c r="A169" s="114"/>
      <c r="B169" s="114"/>
      <c r="CK169" s="114"/>
      <c r="CL169" s="114"/>
    </row>
    <row r="170" spans="1:90" x14ac:dyDescent="0.3">
      <c r="A170" s="114"/>
      <c r="B170" s="114"/>
      <c r="CK170" s="114"/>
      <c r="CL170" s="114"/>
    </row>
    <row r="171" spans="1:90" x14ac:dyDescent="0.3">
      <c r="A171" s="114"/>
      <c r="B171" s="114"/>
      <c r="CK171" s="114"/>
      <c r="CL171" s="114"/>
    </row>
    <row r="172" spans="1:90" x14ac:dyDescent="0.3">
      <c r="A172" s="114"/>
      <c r="B172" s="114"/>
      <c r="CK172" s="114"/>
      <c r="CL172" s="114"/>
    </row>
    <row r="173" spans="1:90" x14ac:dyDescent="0.3">
      <c r="A173" s="114"/>
      <c r="B173" s="114"/>
      <c r="CK173" s="114"/>
      <c r="CL173" s="114"/>
    </row>
    <row r="174" spans="1:90" x14ac:dyDescent="0.3">
      <c r="A174" s="114"/>
      <c r="B174" s="114"/>
      <c r="CK174" s="114"/>
      <c r="CL174" s="114"/>
    </row>
    <row r="175" spans="1:90" x14ac:dyDescent="0.3">
      <c r="A175" s="114"/>
      <c r="B175" s="114"/>
      <c r="CK175" s="114"/>
      <c r="CL175" s="114"/>
    </row>
    <row r="176" spans="1:90" x14ac:dyDescent="0.3">
      <c r="A176" s="114"/>
      <c r="B176" s="114"/>
      <c r="CK176" s="114"/>
      <c r="CL176" s="114"/>
    </row>
    <row r="177" spans="1:90" x14ac:dyDescent="0.3">
      <c r="A177" s="114"/>
      <c r="B177" s="114"/>
      <c r="CK177" s="114"/>
      <c r="CL177" s="114"/>
    </row>
    <row r="178" spans="1:90" x14ac:dyDescent="0.3">
      <c r="A178" s="114"/>
      <c r="B178" s="114"/>
      <c r="CK178" s="114"/>
      <c r="CL178" s="114"/>
    </row>
    <row r="179" spans="1:90" x14ac:dyDescent="0.3">
      <c r="A179" s="114"/>
      <c r="B179" s="114"/>
      <c r="CK179" s="114"/>
      <c r="CL179" s="114"/>
    </row>
    <row r="180" spans="1:90" x14ac:dyDescent="0.3">
      <c r="A180" s="114"/>
      <c r="B180" s="114"/>
      <c r="CK180" s="114"/>
      <c r="CL180" s="114"/>
    </row>
    <row r="181" spans="1:90" x14ac:dyDescent="0.3">
      <c r="A181" s="114"/>
      <c r="B181" s="114"/>
      <c r="CK181" s="114"/>
      <c r="CL181" s="114"/>
    </row>
    <row r="182" spans="1:90" x14ac:dyDescent="0.3">
      <c r="A182" s="114"/>
      <c r="B182" s="114"/>
      <c r="CK182" s="114"/>
      <c r="CL182" s="114"/>
    </row>
    <row r="183" spans="1:90" x14ac:dyDescent="0.3">
      <c r="A183" s="114"/>
      <c r="B183" s="114"/>
      <c r="CK183" s="114"/>
      <c r="CL183" s="114"/>
    </row>
    <row r="184" spans="1:90" x14ac:dyDescent="0.3">
      <c r="A184" s="114"/>
      <c r="B184" s="114"/>
      <c r="CK184" s="114"/>
      <c r="CL184" s="114"/>
    </row>
    <row r="185" spans="1:90" x14ac:dyDescent="0.3">
      <c r="A185" s="114"/>
      <c r="B185" s="114"/>
      <c r="CK185" s="114"/>
      <c r="CL185" s="114"/>
    </row>
    <row r="186" spans="1:90" x14ac:dyDescent="0.3">
      <c r="A186" s="114"/>
      <c r="B186" s="114"/>
      <c r="CK186" s="114"/>
      <c r="CL186" s="114"/>
    </row>
    <row r="187" spans="1:90" x14ac:dyDescent="0.3">
      <c r="A187" s="114"/>
      <c r="B187" s="114"/>
      <c r="CK187" s="114"/>
      <c r="CL187" s="114"/>
    </row>
    <row r="188" spans="1:90" x14ac:dyDescent="0.3">
      <c r="A188" s="114"/>
      <c r="B188" s="114"/>
      <c r="CK188" s="114"/>
      <c r="CL188" s="114"/>
    </row>
    <row r="189" spans="1:90" x14ac:dyDescent="0.3">
      <c r="A189" s="114"/>
      <c r="B189" s="114"/>
      <c r="CK189" s="114"/>
      <c r="CL189" s="114"/>
    </row>
    <row r="190" spans="1:90" x14ac:dyDescent="0.3">
      <c r="A190" s="114"/>
      <c r="B190" s="114"/>
      <c r="CK190" s="114"/>
      <c r="CL190" s="114"/>
    </row>
    <row r="191" spans="1:90" x14ac:dyDescent="0.3">
      <c r="A191" s="114"/>
      <c r="B191" s="114"/>
      <c r="CK191" s="114"/>
      <c r="CL191" s="114"/>
    </row>
    <row r="192" spans="1:90" x14ac:dyDescent="0.3">
      <c r="A192" s="114"/>
      <c r="B192" s="114"/>
      <c r="CK192" s="114"/>
      <c r="CL192" s="114"/>
    </row>
    <row r="193" spans="1:90" x14ac:dyDescent="0.3">
      <c r="A193" s="114"/>
      <c r="B193" s="114"/>
      <c r="CK193" s="114"/>
      <c r="CL193" s="114"/>
    </row>
    <row r="194" spans="1:90" x14ac:dyDescent="0.3">
      <c r="A194" s="114"/>
      <c r="B194" s="114"/>
      <c r="CK194" s="114"/>
      <c r="CL194" s="114"/>
    </row>
    <row r="195" spans="1:90" x14ac:dyDescent="0.3">
      <c r="A195" s="114"/>
      <c r="B195" s="114"/>
      <c r="CK195" s="114"/>
      <c r="CL195" s="114"/>
    </row>
    <row r="196" spans="1:90" x14ac:dyDescent="0.3">
      <c r="A196" s="114"/>
      <c r="B196" s="114"/>
      <c r="CK196" s="114"/>
      <c r="CL196" s="114"/>
    </row>
    <row r="197" spans="1:90" x14ac:dyDescent="0.3">
      <c r="A197" s="114"/>
      <c r="B197" s="114"/>
      <c r="CK197" s="114"/>
      <c r="CL197" s="114"/>
    </row>
    <row r="198" spans="1:90" x14ac:dyDescent="0.3">
      <c r="A198" s="114"/>
      <c r="B198" s="114"/>
      <c r="CK198" s="114"/>
      <c r="CL198" s="114"/>
    </row>
    <row r="199" spans="1:90" x14ac:dyDescent="0.3">
      <c r="A199" s="114"/>
      <c r="B199" s="114"/>
      <c r="CK199" s="114"/>
      <c r="CL199" s="114"/>
    </row>
    <row r="200" spans="1:90" x14ac:dyDescent="0.3">
      <c r="A200" s="114"/>
      <c r="B200" s="114"/>
      <c r="CK200" s="114"/>
      <c r="CL200" s="114"/>
    </row>
    <row r="201" spans="1:90" x14ac:dyDescent="0.3">
      <c r="A201" s="114"/>
      <c r="B201" s="114"/>
      <c r="CK201" s="114"/>
      <c r="CL201" s="114"/>
    </row>
    <row r="202" spans="1:90" x14ac:dyDescent="0.3">
      <c r="A202" s="114"/>
      <c r="B202" s="114"/>
      <c r="CK202" s="114"/>
      <c r="CL202" s="114"/>
    </row>
    <row r="203" spans="1:90" x14ac:dyDescent="0.3">
      <c r="A203" s="114"/>
      <c r="B203" s="114"/>
      <c r="CK203" s="114"/>
      <c r="CL203" s="114"/>
    </row>
    <row r="204" spans="1:90" x14ac:dyDescent="0.3">
      <c r="A204" s="114"/>
      <c r="B204" s="114"/>
      <c r="CK204" s="114"/>
      <c r="CL204" s="114"/>
    </row>
    <row r="205" spans="1:90" x14ac:dyDescent="0.3">
      <c r="A205" s="114"/>
      <c r="B205" s="114"/>
      <c r="CK205" s="114"/>
      <c r="CL205" s="114"/>
    </row>
    <row r="206" spans="1:90" x14ac:dyDescent="0.3">
      <c r="A206" s="114"/>
      <c r="B206" s="114"/>
      <c r="CK206" s="114"/>
      <c r="CL206" s="114"/>
    </row>
    <row r="207" spans="1:90" x14ac:dyDescent="0.3">
      <c r="A207" s="114"/>
      <c r="B207" s="114"/>
      <c r="CK207" s="114"/>
      <c r="CL207" s="114"/>
    </row>
    <row r="208" spans="1:90" x14ac:dyDescent="0.3">
      <c r="A208" s="114"/>
      <c r="B208" s="114"/>
      <c r="CK208" s="114"/>
      <c r="CL208" s="114"/>
    </row>
    <row r="209" spans="1:90" x14ac:dyDescent="0.3">
      <c r="A209" s="114"/>
      <c r="B209" s="114"/>
      <c r="CK209" s="114"/>
      <c r="CL209" s="114"/>
    </row>
    <row r="210" spans="1:90" x14ac:dyDescent="0.3">
      <c r="A210" s="114"/>
      <c r="B210" s="114"/>
      <c r="CK210" s="114"/>
      <c r="CL210" s="114"/>
    </row>
    <row r="211" spans="1:90" x14ac:dyDescent="0.3">
      <c r="A211" s="114"/>
      <c r="B211" s="114"/>
      <c r="CK211" s="114"/>
      <c r="CL211" s="114"/>
    </row>
    <row r="212" spans="1:90" x14ac:dyDescent="0.3">
      <c r="A212" s="114"/>
      <c r="B212" s="114"/>
      <c r="CK212" s="114"/>
      <c r="CL212" s="114"/>
    </row>
    <row r="213" spans="1:90" x14ac:dyDescent="0.3">
      <c r="A213" s="114"/>
      <c r="B213" s="114"/>
      <c r="CK213" s="114"/>
      <c r="CL213" s="114"/>
    </row>
    <row r="214" spans="1:90" x14ac:dyDescent="0.3">
      <c r="A214" s="114"/>
      <c r="B214" s="114"/>
      <c r="CK214" s="114"/>
      <c r="CL214" s="114"/>
    </row>
    <row r="215" spans="1:90" x14ac:dyDescent="0.3">
      <c r="A215" s="114"/>
      <c r="B215" s="114"/>
      <c r="CK215" s="114"/>
      <c r="CL215" s="114"/>
    </row>
    <row r="216" spans="1:90" x14ac:dyDescent="0.3">
      <c r="A216" s="114"/>
      <c r="B216" s="114"/>
      <c r="CK216" s="114"/>
      <c r="CL216" s="114"/>
    </row>
    <row r="217" spans="1:90" x14ac:dyDescent="0.3">
      <c r="A217" s="114"/>
      <c r="B217" s="114"/>
      <c r="CK217" s="114"/>
      <c r="CL217" s="114"/>
    </row>
    <row r="218" spans="1:90" x14ac:dyDescent="0.3">
      <c r="A218" s="114"/>
      <c r="B218" s="114"/>
      <c r="CK218" s="114"/>
      <c r="CL218" s="114"/>
    </row>
    <row r="219" spans="1:90" x14ac:dyDescent="0.3">
      <c r="A219" s="114"/>
      <c r="B219" s="114"/>
      <c r="CK219" s="114"/>
      <c r="CL219" s="114"/>
    </row>
    <row r="220" spans="1:90" x14ac:dyDescent="0.3">
      <c r="A220" s="114"/>
      <c r="B220" s="114"/>
      <c r="CK220" s="114"/>
      <c r="CL220" s="114"/>
    </row>
    <row r="221" spans="1:90" x14ac:dyDescent="0.3">
      <c r="A221" s="114"/>
      <c r="B221" s="114"/>
      <c r="CK221" s="114"/>
      <c r="CL221" s="114"/>
    </row>
    <row r="222" spans="1:90" x14ac:dyDescent="0.3">
      <c r="A222" s="114"/>
      <c r="B222" s="114"/>
      <c r="CK222" s="114"/>
      <c r="CL222" s="114"/>
    </row>
    <row r="223" spans="1:90" x14ac:dyDescent="0.3">
      <c r="A223" s="114"/>
      <c r="B223" s="114"/>
      <c r="CK223" s="114"/>
      <c r="CL223" s="114"/>
    </row>
    <row r="224" spans="1:90" x14ac:dyDescent="0.3">
      <c r="A224" s="114"/>
      <c r="B224" s="114"/>
      <c r="CK224" s="114"/>
      <c r="CL224" s="114"/>
    </row>
    <row r="225" spans="1:90" x14ac:dyDescent="0.3">
      <c r="A225" s="114"/>
      <c r="B225" s="114"/>
      <c r="CK225" s="114"/>
      <c r="CL225" s="114"/>
    </row>
    <row r="226" spans="1:90" x14ac:dyDescent="0.3">
      <c r="A226" s="114"/>
      <c r="B226" s="114"/>
      <c r="CK226" s="114"/>
      <c r="CL226" s="114"/>
    </row>
    <row r="227" spans="1:90" x14ac:dyDescent="0.3">
      <c r="A227" s="114"/>
      <c r="B227" s="114"/>
      <c r="CK227" s="114"/>
      <c r="CL227" s="114"/>
    </row>
    <row r="228" spans="1:90" x14ac:dyDescent="0.3">
      <c r="A228" s="114"/>
      <c r="B228" s="114"/>
      <c r="CK228" s="114"/>
      <c r="CL228" s="114"/>
    </row>
    <row r="229" spans="1:90" x14ac:dyDescent="0.3">
      <c r="A229" s="114"/>
      <c r="B229" s="114"/>
      <c r="CK229" s="114"/>
      <c r="CL229" s="114"/>
    </row>
    <row r="230" spans="1:90" x14ac:dyDescent="0.3">
      <c r="A230" s="114"/>
      <c r="B230" s="114"/>
      <c r="CK230" s="114"/>
      <c r="CL230" s="114"/>
    </row>
    <row r="231" spans="1:90" x14ac:dyDescent="0.3">
      <c r="A231" s="114"/>
      <c r="B231" s="114"/>
      <c r="CK231" s="114"/>
      <c r="CL231" s="114"/>
    </row>
    <row r="232" spans="1:90" x14ac:dyDescent="0.3">
      <c r="A232" s="114"/>
      <c r="B232" s="114"/>
      <c r="CK232" s="114"/>
      <c r="CL232" s="114"/>
    </row>
    <row r="233" spans="1:90" x14ac:dyDescent="0.3">
      <c r="A233" s="114"/>
      <c r="B233" s="114"/>
      <c r="CK233" s="114"/>
      <c r="CL233" s="114"/>
    </row>
    <row r="234" spans="1:90" x14ac:dyDescent="0.3">
      <c r="A234" s="114"/>
      <c r="B234" s="114"/>
      <c r="CK234" s="114"/>
      <c r="CL234" s="114"/>
    </row>
    <row r="235" spans="1:90" x14ac:dyDescent="0.3">
      <c r="A235" s="114"/>
      <c r="B235" s="114"/>
      <c r="CK235" s="114"/>
      <c r="CL235" s="114"/>
    </row>
    <row r="236" spans="1:90" x14ac:dyDescent="0.3">
      <c r="A236" s="114"/>
      <c r="B236" s="114"/>
      <c r="CK236" s="114"/>
      <c r="CL236" s="114"/>
    </row>
    <row r="237" spans="1:90" x14ac:dyDescent="0.3">
      <c r="A237" s="114"/>
      <c r="B237" s="114"/>
      <c r="CK237" s="114"/>
      <c r="CL237" s="114"/>
    </row>
    <row r="238" spans="1:90" x14ac:dyDescent="0.3">
      <c r="A238" s="114"/>
      <c r="B238" s="114"/>
      <c r="CK238" s="114"/>
      <c r="CL238" s="114"/>
    </row>
    <row r="239" spans="1:90" x14ac:dyDescent="0.3">
      <c r="A239" s="114"/>
      <c r="B239" s="114"/>
      <c r="CK239" s="114"/>
      <c r="CL239" s="114"/>
    </row>
    <row r="240" spans="1:90" x14ac:dyDescent="0.3">
      <c r="A240" s="114"/>
      <c r="B240" s="114"/>
      <c r="CK240" s="114"/>
      <c r="CL240" s="114"/>
    </row>
    <row r="241" spans="1:90" x14ac:dyDescent="0.3">
      <c r="A241" s="114"/>
      <c r="B241" s="114"/>
      <c r="CK241" s="114"/>
      <c r="CL241" s="114"/>
    </row>
    <row r="242" spans="1:90" x14ac:dyDescent="0.3">
      <c r="A242" s="114"/>
      <c r="B242" s="114"/>
      <c r="CK242" s="114"/>
      <c r="CL242" s="114"/>
    </row>
    <row r="243" spans="1:90" x14ac:dyDescent="0.3">
      <c r="A243" s="114"/>
      <c r="B243" s="114"/>
      <c r="CK243" s="114"/>
      <c r="CL243" s="114"/>
    </row>
    <row r="244" spans="1:90" x14ac:dyDescent="0.3">
      <c r="A244" s="114"/>
      <c r="B244" s="114"/>
      <c r="CK244" s="114"/>
      <c r="CL244" s="114"/>
    </row>
    <row r="245" spans="1:90" x14ac:dyDescent="0.3">
      <c r="A245" s="114"/>
      <c r="B245" s="114"/>
      <c r="CK245" s="114"/>
      <c r="CL245" s="114"/>
    </row>
    <row r="246" spans="1:90" x14ac:dyDescent="0.3">
      <c r="A246" s="114"/>
      <c r="B246" s="114"/>
      <c r="CK246" s="114"/>
      <c r="CL246" s="114"/>
    </row>
    <row r="247" spans="1:90" x14ac:dyDescent="0.3">
      <c r="A247" s="114"/>
      <c r="B247" s="114"/>
      <c r="CK247" s="114"/>
      <c r="CL247" s="114"/>
    </row>
    <row r="248" spans="1:90" x14ac:dyDescent="0.3">
      <c r="A248" s="114"/>
      <c r="B248" s="114"/>
      <c r="CK248" s="114"/>
      <c r="CL248" s="114"/>
    </row>
    <row r="249" spans="1:90" x14ac:dyDescent="0.3">
      <c r="A249" s="114"/>
      <c r="B249" s="114"/>
      <c r="CK249" s="114"/>
      <c r="CL249" s="114"/>
    </row>
    <row r="250" spans="1:90" x14ac:dyDescent="0.3">
      <c r="A250" s="114"/>
      <c r="B250" s="114"/>
      <c r="CK250" s="114"/>
      <c r="CL250" s="114"/>
    </row>
    <row r="251" spans="1:90" x14ac:dyDescent="0.3">
      <c r="A251" s="114"/>
      <c r="B251" s="114"/>
      <c r="CK251" s="114"/>
      <c r="CL251" s="114"/>
    </row>
    <row r="252" spans="1:90" x14ac:dyDescent="0.3">
      <c r="A252" s="114"/>
      <c r="B252" s="114"/>
      <c r="CK252" s="114"/>
      <c r="CL252" s="114"/>
    </row>
    <row r="253" spans="1:90" x14ac:dyDescent="0.3">
      <c r="A253" s="114"/>
      <c r="B253" s="114"/>
      <c r="CK253" s="114"/>
      <c r="CL253" s="114"/>
    </row>
    <row r="254" spans="1:90" x14ac:dyDescent="0.3">
      <c r="A254" s="114"/>
      <c r="B254" s="114"/>
      <c r="CK254" s="114"/>
      <c r="CL254" s="114"/>
    </row>
    <row r="255" spans="1:90" x14ac:dyDescent="0.3">
      <c r="A255" s="114"/>
      <c r="B255" s="114"/>
      <c r="CK255" s="114"/>
      <c r="CL255" s="114"/>
    </row>
    <row r="256" spans="1:90" x14ac:dyDescent="0.3">
      <c r="A256" s="114"/>
      <c r="B256" s="114"/>
      <c r="CK256" s="114"/>
      <c r="CL256" s="114"/>
    </row>
    <row r="257" spans="1:90" x14ac:dyDescent="0.3">
      <c r="A257" s="114"/>
      <c r="B257" s="114"/>
      <c r="CK257" s="114"/>
      <c r="CL257" s="114"/>
    </row>
    <row r="258" spans="1:90" x14ac:dyDescent="0.3">
      <c r="A258" s="114"/>
      <c r="B258" s="114"/>
      <c r="CK258" s="114"/>
      <c r="CL258" s="114"/>
    </row>
    <row r="259" spans="1:90" x14ac:dyDescent="0.3">
      <c r="A259" s="114"/>
      <c r="B259" s="114"/>
      <c r="CK259" s="114"/>
      <c r="CL259" s="114"/>
    </row>
    <row r="260" spans="1:90" x14ac:dyDescent="0.3">
      <c r="A260" s="114"/>
      <c r="B260" s="114"/>
      <c r="CK260" s="114"/>
      <c r="CL260" s="114"/>
    </row>
    <row r="261" spans="1:90" x14ac:dyDescent="0.3">
      <c r="A261" s="114"/>
      <c r="B261" s="114"/>
      <c r="CK261" s="114"/>
      <c r="CL261" s="114"/>
    </row>
    <row r="262" spans="1:90" x14ac:dyDescent="0.3">
      <c r="A262" s="114"/>
      <c r="B262" s="114"/>
      <c r="CK262" s="114"/>
      <c r="CL262" s="114"/>
    </row>
    <row r="263" spans="1:90" x14ac:dyDescent="0.3">
      <c r="A263" s="114"/>
      <c r="B263" s="114"/>
      <c r="CK263" s="114"/>
      <c r="CL263" s="114"/>
    </row>
    <row r="264" spans="1:90" x14ac:dyDescent="0.3">
      <c r="A264" s="114"/>
      <c r="B264" s="114"/>
      <c r="CK264" s="114"/>
      <c r="CL264" s="114"/>
    </row>
    <row r="265" spans="1:90" x14ac:dyDescent="0.3">
      <c r="A265" s="114"/>
      <c r="B265" s="114"/>
      <c r="CK265" s="114"/>
      <c r="CL265" s="114"/>
    </row>
    <row r="266" spans="1:90" x14ac:dyDescent="0.3">
      <c r="A266" s="114"/>
      <c r="B266" s="114"/>
      <c r="CK266" s="114"/>
      <c r="CL266" s="114"/>
    </row>
    <row r="267" spans="1:90" x14ac:dyDescent="0.3">
      <c r="A267" s="114"/>
      <c r="B267" s="114"/>
      <c r="CK267" s="114"/>
      <c r="CL267" s="114"/>
    </row>
    <row r="268" spans="1:90" x14ac:dyDescent="0.3">
      <c r="A268" s="114"/>
      <c r="B268" s="114"/>
      <c r="CK268" s="114"/>
      <c r="CL268" s="114"/>
    </row>
    <row r="269" spans="1:90" x14ac:dyDescent="0.3">
      <c r="A269" s="114"/>
      <c r="B269" s="114"/>
      <c r="CK269" s="114"/>
      <c r="CL269" s="114"/>
    </row>
    <row r="270" spans="1:90" x14ac:dyDescent="0.3">
      <c r="A270" s="114"/>
      <c r="B270" s="114"/>
      <c r="CK270" s="114"/>
      <c r="CL270" s="114"/>
    </row>
    <row r="271" spans="1:90" x14ac:dyDescent="0.3">
      <c r="A271" s="114"/>
      <c r="B271" s="114"/>
      <c r="CK271" s="114"/>
      <c r="CL271" s="114"/>
    </row>
    <row r="272" spans="1:90" x14ac:dyDescent="0.3">
      <c r="A272" s="114"/>
      <c r="B272" s="114"/>
      <c r="CK272" s="114"/>
      <c r="CL272" s="114"/>
    </row>
    <row r="273" spans="1:90" x14ac:dyDescent="0.3">
      <c r="A273" s="114"/>
      <c r="B273" s="114"/>
      <c r="CK273" s="114"/>
      <c r="CL273" s="114"/>
    </row>
    <row r="274" spans="1:90" x14ac:dyDescent="0.3">
      <c r="A274" s="114"/>
      <c r="B274" s="114"/>
      <c r="CK274" s="114"/>
      <c r="CL274" s="114"/>
    </row>
    <row r="275" spans="1:90" x14ac:dyDescent="0.3">
      <c r="A275" s="114"/>
      <c r="B275" s="114"/>
      <c r="CK275" s="114"/>
      <c r="CL275" s="114"/>
    </row>
    <row r="276" spans="1:90" x14ac:dyDescent="0.3">
      <c r="A276" s="114"/>
      <c r="B276" s="114"/>
      <c r="CK276" s="114"/>
      <c r="CL276" s="114"/>
    </row>
    <row r="277" spans="1:90" x14ac:dyDescent="0.3">
      <c r="A277" s="114"/>
      <c r="B277" s="114"/>
      <c r="CK277" s="114"/>
      <c r="CL277" s="114"/>
    </row>
    <row r="278" spans="1:90" x14ac:dyDescent="0.3">
      <c r="A278" s="114"/>
      <c r="B278" s="114"/>
      <c r="CK278" s="114"/>
      <c r="CL278" s="114"/>
    </row>
    <row r="279" spans="1:90" x14ac:dyDescent="0.3">
      <c r="A279" s="114"/>
      <c r="B279" s="114"/>
      <c r="CK279" s="114"/>
      <c r="CL279" s="114"/>
    </row>
    <row r="280" spans="1:90" x14ac:dyDescent="0.3">
      <c r="A280" s="114"/>
      <c r="B280" s="114"/>
      <c r="CK280" s="114"/>
      <c r="CL280" s="114"/>
    </row>
    <row r="281" spans="1:90" x14ac:dyDescent="0.3">
      <c r="A281" s="114"/>
      <c r="B281" s="114"/>
      <c r="CK281" s="114"/>
      <c r="CL281" s="114"/>
    </row>
    <row r="282" spans="1:90" x14ac:dyDescent="0.3">
      <c r="A282" s="114"/>
      <c r="B282" s="114"/>
      <c r="CK282" s="114"/>
      <c r="CL282" s="114"/>
    </row>
    <row r="283" spans="1:90" x14ac:dyDescent="0.3">
      <c r="A283" s="114"/>
      <c r="B283" s="114"/>
      <c r="CK283" s="114"/>
      <c r="CL283" s="114"/>
    </row>
    <row r="284" spans="1:90" x14ac:dyDescent="0.3">
      <c r="A284" s="114"/>
      <c r="B284" s="114"/>
      <c r="CK284" s="114"/>
      <c r="CL284" s="114"/>
    </row>
    <row r="285" spans="1:90" x14ac:dyDescent="0.3">
      <c r="A285" s="114"/>
      <c r="B285" s="114"/>
      <c r="CK285" s="114"/>
      <c r="CL285" s="114"/>
    </row>
    <row r="286" spans="1:90" x14ac:dyDescent="0.3">
      <c r="A286" s="114"/>
      <c r="B286" s="114"/>
      <c r="CK286" s="114"/>
      <c r="CL286" s="114"/>
    </row>
    <row r="287" spans="1:90" x14ac:dyDescent="0.3">
      <c r="A287" s="114"/>
      <c r="B287" s="114"/>
      <c r="CK287" s="114"/>
      <c r="CL287" s="114"/>
    </row>
    <row r="288" spans="1:90" x14ac:dyDescent="0.3">
      <c r="A288" s="114"/>
      <c r="B288" s="114"/>
      <c r="CK288" s="114"/>
      <c r="CL288" s="114"/>
    </row>
    <row r="289" spans="1:90" x14ac:dyDescent="0.3">
      <c r="A289" s="114"/>
      <c r="B289" s="114"/>
      <c r="CK289" s="114"/>
      <c r="CL289" s="114"/>
    </row>
    <row r="290" spans="1:90" x14ac:dyDescent="0.3">
      <c r="A290" s="114"/>
      <c r="B290" s="114"/>
      <c r="CK290" s="114"/>
      <c r="CL290" s="114"/>
    </row>
    <row r="291" spans="1:90" x14ac:dyDescent="0.3">
      <c r="A291" s="114"/>
      <c r="B291" s="114"/>
      <c r="CK291" s="114"/>
      <c r="CL291" s="114"/>
    </row>
    <row r="292" spans="1:90" x14ac:dyDescent="0.3">
      <c r="A292" s="114"/>
      <c r="B292" s="114"/>
      <c r="CK292" s="114"/>
      <c r="CL292" s="114"/>
    </row>
    <row r="293" spans="1:90" x14ac:dyDescent="0.3">
      <c r="A293" s="114"/>
      <c r="B293" s="114"/>
      <c r="CK293" s="114"/>
      <c r="CL293" s="114"/>
    </row>
    <row r="294" spans="1:90" x14ac:dyDescent="0.3">
      <c r="A294" s="114"/>
      <c r="B294" s="114"/>
      <c r="CK294" s="114"/>
      <c r="CL294" s="114"/>
    </row>
    <row r="295" spans="1:90" x14ac:dyDescent="0.3">
      <c r="A295" s="114"/>
      <c r="B295" s="114"/>
      <c r="CK295" s="114"/>
      <c r="CL295" s="114"/>
    </row>
    <row r="296" spans="1:90" x14ac:dyDescent="0.3">
      <c r="A296" s="114"/>
      <c r="B296" s="114"/>
      <c r="CK296" s="114"/>
      <c r="CL296" s="114"/>
    </row>
    <row r="297" spans="1:90" x14ac:dyDescent="0.3">
      <c r="A297" s="114"/>
      <c r="B297" s="114"/>
      <c r="CK297" s="114"/>
      <c r="CL297" s="114"/>
    </row>
    <row r="298" spans="1:90" x14ac:dyDescent="0.3">
      <c r="A298" s="114"/>
      <c r="B298" s="114"/>
      <c r="CK298" s="114"/>
      <c r="CL298" s="114"/>
    </row>
    <row r="299" spans="1:90" x14ac:dyDescent="0.3">
      <c r="A299" s="114"/>
      <c r="B299" s="114"/>
      <c r="CK299" s="114"/>
      <c r="CL299" s="114"/>
    </row>
    <row r="300" spans="1:90" x14ac:dyDescent="0.3">
      <c r="A300" s="114"/>
      <c r="B300" s="114"/>
      <c r="CK300" s="114"/>
      <c r="CL300" s="114"/>
    </row>
    <row r="301" spans="1:90" x14ac:dyDescent="0.3">
      <c r="A301" s="114"/>
      <c r="B301" s="114"/>
      <c r="CK301" s="114"/>
      <c r="CL301" s="114"/>
    </row>
    <row r="302" spans="1:90" x14ac:dyDescent="0.3">
      <c r="A302" s="114"/>
      <c r="B302" s="114"/>
      <c r="CK302" s="114"/>
      <c r="CL302" s="114"/>
    </row>
    <row r="303" spans="1:90" x14ac:dyDescent="0.3">
      <c r="A303" s="114"/>
      <c r="B303" s="114"/>
      <c r="CK303" s="114"/>
      <c r="CL303" s="114"/>
    </row>
    <row r="304" spans="1:90" x14ac:dyDescent="0.3">
      <c r="A304" s="114"/>
      <c r="B304" s="114"/>
      <c r="CK304" s="114"/>
      <c r="CL304" s="114"/>
    </row>
    <row r="305" spans="1:90" x14ac:dyDescent="0.3">
      <c r="A305" s="114"/>
      <c r="B305" s="114"/>
      <c r="CK305" s="114"/>
      <c r="CL305" s="114"/>
    </row>
    <row r="306" spans="1:90" x14ac:dyDescent="0.3">
      <c r="A306" s="114"/>
      <c r="B306" s="114"/>
      <c r="CK306" s="114"/>
      <c r="CL306" s="114"/>
    </row>
    <row r="307" spans="1:90" x14ac:dyDescent="0.3">
      <c r="A307" s="114"/>
      <c r="B307" s="114"/>
      <c r="CK307" s="114"/>
      <c r="CL307" s="114"/>
    </row>
    <row r="308" spans="1:90" x14ac:dyDescent="0.3">
      <c r="A308" s="114"/>
      <c r="B308" s="114"/>
      <c r="CK308" s="114"/>
      <c r="CL308" s="114"/>
    </row>
    <row r="309" spans="1:90" x14ac:dyDescent="0.3">
      <c r="A309" s="114"/>
      <c r="B309" s="114"/>
      <c r="CK309" s="114"/>
      <c r="CL309" s="114"/>
    </row>
    <row r="310" spans="1:90" x14ac:dyDescent="0.3">
      <c r="A310" s="114"/>
      <c r="B310" s="114"/>
      <c r="CK310" s="114"/>
      <c r="CL310" s="114"/>
    </row>
    <row r="311" spans="1:90" x14ac:dyDescent="0.3">
      <c r="A311" s="114"/>
      <c r="B311" s="114"/>
      <c r="CK311" s="114"/>
      <c r="CL311" s="114"/>
    </row>
    <row r="312" spans="1:90" x14ac:dyDescent="0.3">
      <c r="A312" s="114"/>
      <c r="B312" s="114"/>
      <c r="CK312" s="114"/>
      <c r="CL312" s="114"/>
    </row>
    <row r="313" spans="1:90" x14ac:dyDescent="0.3">
      <c r="A313" s="114"/>
      <c r="B313" s="114"/>
      <c r="CK313" s="114"/>
      <c r="CL313" s="114"/>
    </row>
    <row r="314" spans="1:90" x14ac:dyDescent="0.3">
      <c r="A314" s="114"/>
      <c r="B314" s="114"/>
      <c r="CK314" s="114"/>
      <c r="CL314" s="114"/>
    </row>
    <row r="315" spans="1:90" x14ac:dyDescent="0.3">
      <c r="A315" s="114"/>
      <c r="B315" s="114"/>
      <c r="CK315" s="114"/>
      <c r="CL315" s="114"/>
    </row>
    <row r="316" spans="1:90" x14ac:dyDescent="0.3">
      <c r="A316" s="114"/>
      <c r="B316" s="114"/>
      <c r="CK316" s="114"/>
      <c r="CL316" s="114"/>
    </row>
    <row r="317" spans="1:90" x14ac:dyDescent="0.3">
      <c r="A317" s="114"/>
      <c r="B317" s="114"/>
      <c r="CK317" s="114"/>
      <c r="CL317" s="114"/>
    </row>
    <row r="318" spans="1:90" x14ac:dyDescent="0.3">
      <c r="A318" s="114"/>
      <c r="B318" s="114"/>
      <c r="CK318" s="114"/>
      <c r="CL318" s="114"/>
    </row>
    <row r="319" spans="1:90" x14ac:dyDescent="0.3">
      <c r="A319" s="114"/>
      <c r="B319" s="114"/>
      <c r="CK319" s="114"/>
      <c r="CL319" s="114"/>
    </row>
    <row r="320" spans="1:90" x14ac:dyDescent="0.3">
      <c r="A320" s="114"/>
      <c r="B320" s="114"/>
      <c r="CK320" s="114"/>
      <c r="CL320" s="114"/>
    </row>
    <row r="321" spans="1:90" x14ac:dyDescent="0.3">
      <c r="A321" s="114"/>
      <c r="B321" s="114"/>
      <c r="CK321" s="114"/>
      <c r="CL321" s="114"/>
    </row>
    <row r="322" spans="1:90" x14ac:dyDescent="0.3">
      <c r="A322" s="114"/>
      <c r="B322" s="114"/>
      <c r="CK322" s="114"/>
      <c r="CL322" s="114"/>
    </row>
    <row r="323" spans="1:90" x14ac:dyDescent="0.3">
      <c r="A323" s="114"/>
      <c r="B323" s="114"/>
      <c r="CK323" s="114"/>
      <c r="CL323" s="114"/>
    </row>
    <row r="324" spans="1:90" x14ac:dyDescent="0.3">
      <c r="A324" s="114"/>
      <c r="B324" s="114"/>
      <c r="CK324" s="114"/>
      <c r="CL324" s="114"/>
    </row>
    <row r="325" spans="1:90" x14ac:dyDescent="0.3">
      <c r="A325" s="114"/>
      <c r="B325" s="114"/>
      <c r="CK325" s="114"/>
      <c r="CL325" s="114"/>
    </row>
    <row r="326" spans="1:90" x14ac:dyDescent="0.3">
      <c r="A326" s="114"/>
      <c r="B326" s="114"/>
      <c r="CK326" s="114"/>
      <c r="CL326" s="114"/>
    </row>
    <row r="327" spans="1:90" x14ac:dyDescent="0.3">
      <c r="A327" s="114"/>
      <c r="B327" s="114"/>
      <c r="CK327" s="114"/>
      <c r="CL327" s="114"/>
    </row>
    <row r="328" spans="1:90" x14ac:dyDescent="0.3">
      <c r="A328" s="114"/>
      <c r="B328" s="114"/>
      <c r="CK328" s="114"/>
      <c r="CL328" s="114"/>
    </row>
    <row r="329" spans="1:90" x14ac:dyDescent="0.3">
      <c r="A329" s="114"/>
      <c r="B329" s="114"/>
      <c r="CK329" s="114"/>
      <c r="CL329" s="114"/>
    </row>
    <row r="330" spans="1:90" x14ac:dyDescent="0.3">
      <c r="A330" s="114"/>
      <c r="B330" s="114"/>
      <c r="CK330" s="114"/>
      <c r="CL330" s="114"/>
    </row>
    <row r="331" spans="1:90" x14ac:dyDescent="0.3">
      <c r="A331" s="114"/>
      <c r="B331" s="114"/>
      <c r="CK331" s="114"/>
      <c r="CL331" s="114"/>
    </row>
    <row r="332" spans="1:90" x14ac:dyDescent="0.3">
      <c r="A332" s="114"/>
      <c r="B332" s="114"/>
      <c r="CK332" s="114"/>
      <c r="CL332" s="114"/>
    </row>
    <row r="333" spans="1:90" x14ac:dyDescent="0.3">
      <c r="A333" s="114"/>
      <c r="B333" s="114"/>
      <c r="CK333" s="114"/>
      <c r="CL333" s="114"/>
    </row>
    <row r="334" spans="1:90" x14ac:dyDescent="0.3">
      <c r="A334" s="114"/>
      <c r="B334" s="114"/>
      <c r="CK334" s="114"/>
      <c r="CL334" s="114"/>
    </row>
    <row r="335" spans="1:90" x14ac:dyDescent="0.3">
      <c r="A335" s="114"/>
      <c r="B335" s="114"/>
      <c r="CK335" s="114"/>
      <c r="CL335" s="114"/>
    </row>
    <row r="336" spans="1:90" x14ac:dyDescent="0.3">
      <c r="A336" s="114"/>
      <c r="B336" s="114"/>
      <c r="CK336" s="114"/>
      <c r="CL336" s="114"/>
    </row>
    <row r="337" spans="1:90" x14ac:dyDescent="0.3">
      <c r="A337" s="114"/>
      <c r="B337" s="114"/>
      <c r="CK337" s="114"/>
      <c r="CL337" s="114"/>
    </row>
    <row r="338" spans="1:90" x14ac:dyDescent="0.3">
      <c r="A338" s="114"/>
      <c r="B338" s="114"/>
      <c r="CK338" s="114"/>
      <c r="CL338" s="114"/>
    </row>
    <row r="339" spans="1:90" x14ac:dyDescent="0.3">
      <c r="A339" s="114"/>
      <c r="B339" s="114"/>
      <c r="CK339" s="114"/>
      <c r="CL339" s="114"/>
    </row>
    <row r="340" spans="1:90" x14ac:dyDescent="0.3">
      <c r="A340" s="114"/>
      <c r="B340" s="114"/>
      <c r="CK340" s="114"/>
      <c r="CL340" s="114"/>
    </row>
    <row r="341" spans="1:90" x14ac:dyDescent="0.3">
      <c r="A341" s="114"/>
      <c r="B341" s="114"/>
      <c r="CK341" s="114"/>
      <c r="CL341" s="114"/>
    </row>
    <row r="342" spans="1:90" x14ac:dyDescent="0.3">
      <c r="A342" s="114"/>
      <c r="B342" s="114"/>
      <c r="CK342" s="114"/>
      <c r="CL342" s="114"/>
    </row>
    <row r="343" spans="1:90" x14ac:dyDescent="0.3">
      <c r="A343" s="114"/>
      <c r="B343" s="114"/>
      <c r="CK343" s="114"/>
      <c r="CL343" s="114"/>
    </row>
    <row r="344" spans="1:90" x14ac:dyDescent="0.3">
      <c r="A344" s="114"/>
      <c r="B344" s="114"/>
      <c r="CK344" s="114"/>
      <c r="CL344" s="114"/>
    </row>
    <row r="345" spans="1:90" x14ac:dyDescent="0.3">
      <c r="A345" s="114"/>
      <c r="B345" s="114"/>
      <c r="CK345" s="114"/>
      <c r="CL345" s="114"/>
    </row>
    <row r="346" spans="1:90" x14ac:dyDescent="0.3">
      <c r="A346" s="114"/>
      <c r="B346" s="114"/>
      <c r="CK346" s="114"/>
      <c r="CL346" s="114"/>
    </row>
    <row r="347" spans="1:90" x14ac:dyDescent="0.3">
      <c r="A347" s="114"/>
      <c r="B347" s="114"/>
      <c r="CK347" s="114"/>
      <c r="CL347" s="114"/>
    </row>
    <row r="348" spans="1:90" x14ac:dyDescent="0.3">
      <c r="A348" s="114"/>
      <c r="B348" s="114"/>
      <c r="CK348" s="114"/>
      <c r="CL348" s="114"/>
    </row>
    <row r="349" spans="1:90" x14ac:dyDescent="0.3">
      <c r="A349" s="114"/>
      <c r="B349" s="114"/>
      <c r="CK349" s="114"/>
      <c r="CL349" s="114"/>
    </row>
    <row r="350" spans="1:90" x14ac:dyDescent="0.3">
      <c r="A350" s="114"/>
      <c r="B350" s="114"/>
      <c r="CK350" s="114"/>
      <c r="CL350" s="114"/>
    </row>
    <row r="351" spans="1:90" x14ac:dyDescent="0.3">
      <c r="A351" s="114"/>
      <c r="B351" s="114"/>
      <c r="CK351" s="114"/>
      <c r="CL351" s="114"/>
    </row>
    <row r="352" spans="1:90" x14ac:dyDescent="0.3">
      <c r="A352" s="114"/>
      <c r="B352" s="114"/>
      <c r="CK352" s="114"/>
      <c r="CL352" s="114"/>
    </row>
    <row r="353" spans="1:90" x14ac:dyDescent="0.3">
      <c r="A353" s="114"/>
      <c r="B353" s="114"/>
      <c r="CK353" s="114"/>
      <c r="CL353" s="114"/>
    </row>
    <row r="354" spans="1:90" x14ac:dyDescent="0.3">
      <c r="A354" s="114"/>
      <c r="B354" s="114"/>
      <c r="CK354" s="114"/>
      <c r="CL354" s="114"/>
    </row>
    <row r="355" spans="1:90" x14ac:dyDescent="0.3">
      <c r="A355" s="114"/>
      <c r="B355" s="114"/>
      <c r="CK355" s="114"/>
      <c r="CL355" s="114"/>
    </row>
    <row r="356" spans="1:90" x14ac:dyDescent="0.3">
      <c r="A356" s="114"/>
      <c r="B356" s="114"/>
      <c r="CK356" s="114"/>
      <c r="CL356" s="114"/>
    </row>
    <row r="357" spans="1:90" x14ac:dyDescent="0.3">
      <c r="A357" s="114"/>
      <c r="B357" s="114"/>
      <c r="CK357" s="114"/>
      <c r="CL357" s="114"/>
    </row>
    <row r="358" spans="1:90" x14ac:dyDescent="0.3">
      <c r="A358" s="114"/>
      <c r="B358" s="114"/>
      <c r="CK358" s="114"/>
      <c r="CL358" s="114"/>
    </row>
    <row r="359" spans="1:90" x14ac:dyDescent="0.3">
      <c r="A359" s="114"/>
      <c r="B359" s="114"/>
      <c r="CK359" s="114"/>
      <c r="CL359" s="114"/>
    </row>
    <row r="360" spans="1:90" x14ac:dyDescent="0.3">
      <c r="A360" s="114"/>
      <c r="B360" s="114"/>
      <c r="CK360" s="114"/>
      <c r="CL360" s="114"/>
    </row>
    <row r="361" spans="1:90" x14ac:dyDescent="0.3">
      <c r="A361" s="114"/>
      <c r="B361" s="114"/>
      <c r="CK361" s="114"/>
      <c r="CL361" s="114"/>
    </row>
    <row r="362" spans="1:90" x14ac:dyDescent="0.3">
      <c r="A362" s="114"/>
      <c r="B362" s="114"/>
      <c r="CK362" s="114"/>
      <c r="CL362" s="114"/>
    </row>
    <row r="363" spans="1:90" x14ac:dyDescent="0.3">
      <c r="A363" s="114"/>
      <c r="B363" s="114"/>
      <c r="CK363" s="114"/>
      <c r="CL363" s="114"/>
    </row>
    <row r="364" spans="1:90" x14ac:dyDescent="0.3">
      <c r="A364" s="114"/>
      <c r="B364" s="114"/>
      <c r="CK364" s="114"/>
      <c r="CL364" s="114"/>
    </row>
    <row r="365" spans="1:90" x14ac:dyDescent="0.3">
      <c r="A365" s="114"/>
      <c r="B365" s="114"/>
      <c r="CK365" s="114"/>
      <c r="CL365" s="114"/>
    </row>
    <row r="366" spans="1:90" x14ac:dyDescent="0.3">
      <c r="A366" s="114"/>
      <c r="B366" s="114"/>
      <c r="CK366" s="114"/>
      <c r="CL366" s="114"/>
    </row>
    <row r="367" spans="1:90" x14ac:dyDescent="0.3">
      <c r="A367" s="114"/>
      <c r="B367" s="114"/>
      <c r="CK367" s="114"/>
      <c r="CL367" s="114"/>
    </row>
    <row r="368" spans="1:90" x14ac:dyDescent="0.3">
      <c r="A368" s="114"/>
      <c r="B368" s="114"/>
      <c r="CK368" s="114"/>
      <c r="CL368" s="114"/>
    </row>
    <row r="369" spans="1:90" x14ac:dyDescent="0.3">
      <c r="A369" s="114"/>
      <c r="B369" s="114"/>
      <c r="CK369" s="114"/>
      <c r="CL369" s="114"/>
    </row>
    <row r="370" spans="1:90" x14ac:dyDescent="0.3">
      <c r="A370" s="114"/>
      <c r="B370" s="114"/>
      <c r="CK370" s="114"/>
      <c r="CL370" s="114"/>
    </row>
    <row r="371" spans="1:90" x14ac:dyDescent="0.3">
      <c r="A371" s="114"/>
      <c r="B371" s="114"/>
      <c r="CK371" s="114"/>
      <c r="CL371" s="114"/>
    </row>
    <row r="372" spans="1:90" x14ac:dyDescent="0.3">
      <c r="A372" s="114"/>
      <c r="B372" s="114"/>
      <c r="CK372" s="114"/>
      <c r="CL372" s="114"/>
    </row>
    <row r="373" spans="1:90" x14ac:dyDescent="0.3">
      <c r="A373" s="114"/>
      <c r="B373" s="114"/>
      <c r="CK373" s="114"/>
      <c r="CL373" s="114"/>
    </row>
    <row r="374" spans="1:90" x14ac:dyDescent="0.3">
      <c r="A374" s="114"/>
      <c r="B374" s="114"/>
      <c r="CK374" s="114"/>
      <c r="CL374" s="114"/>
    </row>
    <row r="375" spans="1:90" x14ac:dyDescent="0.3">
      <c r="A375" s="114"/>
      <c r="B375" s="114"/>
      <c r="CK375" s="114"/>
      <c r="CL375" s="114"/>
    </row>
    <row r="376" spans="1:90" x14ac:dyDescent="0.3">
      <c r="A376" s="114"/>
      <c r="B376" s="114"/>
      <c r="CK376" s="114"/>
      <c r="CL376" s="114"/>
    </row>
    <row r="377" spans="1:90" x14ac:dyDescent="0.3">
      <c r="A377" s="114"/>
      <c r="B377" s="114"/>
      <c r="CK377" s="114"/>
      <c r="CL377" s="114"/>
    </row>
    <row r="378" spans="1:90" x14ac:dyDescent="0.3">
      <c r="A378" s="114"/>
      <c r="B378" s="114"/>
      <c r="CK378" s="114"/>
      <c r="CL378" s="114"/>
    </row>
    <row r="379" spans="1:90" x14ac:dyDescent="0.3">
      <c r="A379" s="114"/>
      <c r="B379" s="114"/>
      <c r="CK379" s="114"/>
      <c r="CL379" s="114"/>
    </row>
    <row r="380" spans="1:90" x14ac:dyDescent="0.3">
      <c r="A380" s="114"/>
      <c r="B380" s="114"/>
      <c r="CK380" s="114"/>
      <c r="CL380" s="114"/>
    </row>
    <row r="381" spans="1:90" x14ac:dyDescent="0.3">
      <c r="A381" s="114"/>
      <c r="B381" s="114"/>
      <c r="CK381" s="114"/>
      <c r="CL381" s="114"/>
    </row>
    <row r="382" spans="1:90" x14ac:dyDescent="0.3">
      <c r="A382" s="114"/>
      <c r="B382" s="114"/>
      <c r="CK382" s="114"/>
      <c r="CL382" s="114"/>
    </row>
    <row r="383" spans="1:90" x14ac:dyDescent="0.3">
      <c r="A383" s="114"/>
      <c r="B383" s="114"/>
      <c r="CK383" s="114"/>
      <c r="CL383" s="114"/>
    </row>
    <row r="384" spans="1:90" x14ac:dyDescent="0.3">
      <c r="A384" s="114"/>
      <c r="B384" s="114"/>
      <c r="CK384" s="114"/>
      <c r="CL384" s="114"/>
    </row>
    <row r="385" spans="1:90" x14ac:dyDescent="0.3">
      <c r="A385" s="114"/>
      <c r="B385" s="114"/>
      <c r="CK385" s="114"/>
      <c r="CL385" s="114"/>
    </row>
    <row r="386" spans="1:90" x14ac:dyDescent="0.3">
      <c r="A386" s="114"/>
      <c r="B386" s="114"/>
      <c r="CK386" s="114"/>
      <c r="CL386" s="114"/>
    </row>
    <row r="387" spans="1:90" x14ac:dyDescent="0.3">
      <c r="A387" s="114"/>
      <c r="B387" s="114"/>
      <c r="CK387" s="114"/>
      <c r="CL387" s="114"/>
    </row>
    <row r="388" spans="1:90" x14ac:dyDescent="0.3">
      <c r="A388" s="114"/>
      <c r="B388" s="114"/>
      <c r="CK388" s="114"/>
      <c r="CL388" s="114"/>
    </row>
    <row r="389" spans="1:90" x14ac:dyDescent="0.3">
      <c r="A389" s="114"/>
      <c r="B389" s="114"/>
      <c r="CK389" s="114"/>
      <c r="CL389" s="114"/>
    </row>
    <row r="390" spans="1:90" x14ac:dyDescent="0.3">
      <c r="A390" s="114"/>
      <c r="B390" s="114"/>
      <c r="CK390" s="114"/>
      <c r="CL390" s="114"/>
    </row>
    <row r="391" spans="1:90" x14ac:dyDescent="0.3">
      <c r="A391" s="114"/>
      <c r="B391" s="114"/>
      <c r="CK391" s="114"/>
      <c r="CL391" s="114"/>
    </row>
    <row r="392" spans="1:90" x14ac:dyDescent="0.3">
      <c r="A392" s="114"/>
      <c r="B392" s="114"/>
      <c r="CK392" s="114"/>
      <c r="CL392" s="114"/>
    </row>
    <row r="393" spans="1:90" x14ac:dyDescent="0.3">
      <c r="A393" s="114"/>
      <c r="B393" s="114"/>
      <c r="CK393" s="114"/>
      <c r="CL393" s="114"/>
    </row>
    <row r="394" spans="1:90" x14ac:dyDescent="0.3">
      <c r="A394" s="114"/>
      <c r="B394" s="114"/>
      <c r="CK394" s="114"/>
      <c r="CL394" s="114"/>
    </row>
    <row r="395" spans="1:90" x14ac:dyDescent="0.3">
      <c r="A395" s="114"/>
      <c r="B395" s="114"/>
      <c r="CK395" s="114"/>
      <c r="CL395" s="114"/>
    </row>
    <row r="396" spans="1:90" x14ac:dyDescent="0.3">
      <c r="A396" s="114"/>
      <c r="B396" s="114"/>
      <c r="CK396" s="114"/>
      <c r="CL396" s="114"/>
    </row>
    <row r="397" spans="1:90" x14ac:dyDescent="0.3">
      <c r="A397" s="114"/>
      <c r="B397" s="114"/>
      <c r="CK397" s="114"/>
      <c r="CL397" s="114"/>
    </row>
    <row r="398" spans="1:90" x14ac:dyDescent="0.3">
      <c r="A398" s="114"/>
      <c r="B398" s="114"/>
      <c r="CK398" s="114"/>
      <c r="CL398" s="114"/>
    </row>
    <row r="399" spans="1:90" x14ac:dyDescent="0.3">
      <c r="A399" s="114"/>
      <c r="B399" s="114"/>
      <c r="CK399" s="114"/>
      <c r="CL399" s="114"/>
    </row>
    <row r="400" spans="1:90" x14ac:dyDescent="0.3">
      <c r="A400" s="114"/>
      <c r="B400" s="114"/>
      <c r="CK400" s="114"/>
      <c r="CL400" s="114"/>
    </row>
    <row r="401" spans="1:90" x14ac:dyDescent="0.3">
      <c r="A401" s="114"/>
      <c r="B401" s="114"/>
      <c r="CK401" s="114"/>
      <c r="CL401" s="114"/>
    </row>
    <row r="402" spans="1:90" x14ac:dyDescent="0.3">
      <c r="A402" s="114"/>
      <c r="B402" s="114"/>
      <c r="CK402" s="114"/>
      <c r="CL402" s="114"/>
    </row>
    <row r="403" spans="1:90" x14ac:dyDescent="0.3">
      <c r="A403" s="114"/>
      <c r="B403" s="114"/>
      <c r="CK403" s="114"/>
      <c r="CL403" s="114"/>
    </row>
    <row r="404" spans="1:90" x14ac:dyDescent="0.3">
      <c r="A404" s="114"/>
      <c r="B404" s="114"/>
      <c r="CK404" s="114"/>
      <c r="CL404" s="114"/>
    </row>
    <row r="405" spans="1:90" x14ac:dyDescent="0.3">
      <c r="A405" s="114"/>
      <c r="B405" s="114"/>
      <c r="CK405" s="114"/>
      <c r="CL405" s="114"/>
    </row>
    <row r="406" spans="1:90" x14ac:dyDescent="0.3">
      <c r="A406" s="114"/>
      <c r="B406" s="114"/>
      <c r="CK406" s="114"/>
      <c r="CL406" s="114"/>
    </row>
    <row r="407" spans="1:90" x14ac:dyDescent="0.3">
      <c r="A407" s="114"/>
      <c r="B407" s="114"/>
      <c r="CK407" s="114"/>
      <c r="CL407" s="114"/>
    </row>
    <row r="408" spans="1:90" x14ac:dyDescent="0.3">
      <c r="A408" s="114"/>
      <c r="B408" s="114"/>
      <c r="CK408" s="114"/>
      <c r="CL408" s="114"/>
    </row>
    <row r="409" spans="1:90" x14ac:dyDescent="0.3">
      <c r="A409" s="114"/>
      <c r="B409" s="114"/>
      <c r="CK409" s="114"/>
      <c r="CL409" s="114"/>
    </row>
    <row r="410" spans="1:90" x14ac:dyDescent="0.3">
      <c r="A410" s="114"/>
      <c r="B410" s="114"/>
      <c r="CK410" s="114"/>
      <c r="CL410" s="114"/>
    </row>
    <row r="411" spans="1:90" x14ac:dyDescent="0.3">
      <c r="A411" s="114"/>
      <c r="B411" s="114"/>
      <c r="CK411" s="114"/>
      <c r="CL411" s="114"/>
    </row>
    <row r="412" spans="1:90" x14ac:dyDescent="0.3">
      <c r="A412" s="114"/>
      <c r="B412" s="114"/>
      <c r="CK412" s="114"/>
      <c r="CL412" s="114"/>
    </row>
    <row r="413" spans="1:90" x14ac:dyDescent="0.3">
      <c r="A413" s="114"/>
      <c r="B413" s="114"/>
      <c r="CK413" s="114"/>
      <c r="CL413" s="114"/>
    </row>
    <row r="414" spans="1:90" x14ac:dyDescent="0.3">
      <c r="A414" s="114"/>
      <c r="B414" s="114"/>
      <c r="CK414" s="114"/>
      <c r="CL414" s="114"/>
    </row>
    <row r="415" spans="1:90" x14ac:dyDescent="0.3">
      <c r="A415" s="114"/>
      <c r="B415" s="114"/>
      <c r="CK415" s="114"/>
      <c r="CL415" s="114"/>
    </row>
    <row r="416" spans="1:90" x14ac:dyDescent="0.3">
      <c r="A416" s="114"/>
      <c r="B416" s="114"/>
      <c r="CK416" s="114"/>
      <c r="CL416" s="114"/>
    </row>
    <row r="417" spans="1:90" x14ac:dyDescent="0.3">
      <c r="A417" s="114"/>
      <c r="B417" s="114"/>
      <c r="CK417" s="114"/>
      <c r="CL417" s="114"/>
    </row>
    <row r="418" spans="1:90" x14ac:dyDescent="0.3">
      <c r="A418" s="114"/>
      <c r="B418" s="114"/>
      <c r="CK418" s="114"/>
      <c r="CL418" s="114"/>
    </row>
    <row r="419" spans="1:90" x14ac:dyDescent="0.3">
      <c r="A419" s="114"/>
      <c r="B419" s="114"/>
      <c r="CK419" s="114"/>
      <c r="CL419" s="114"/>
    </row>
    <row r="420" spans="1:90" x14ac:dyDescent="0.3">
      <c r="A420" s="114"/>
      <c r="B420" s="114"/>
      <c r="CK420" s="114"/>
      <c r="CL420" s="114"/>
    </row>
    <row r="421" spans="1:90" x14ac:dyDescent="0.3">
      <c r="A421" s="114"/>
      <c r="B421" s="114"/>
      <c r="CK421" s="114"/>
      <c r="CL421" s="114"/>
    </row>
    <row r="422" spans="1:90" x14ac:dyDescent="0.3">
      <c r="A422" s="114"/>
      <c r="B422" s="114"/>
      <c r="CK422" s="114"/>
      <c r="CL422" s="114"/>
    </row>
    <row r="423" spans="1:90" x14ac:dyDescent="0.3">
      <c r="A423" s="114"/>
      <c r="B423" s="114"/>
      <c r="CK423" s="114"/>
      <c r="CL423" s="114"/>
    </row>
    <row r="424" spans="1:90" x14ac:dyDescent="0.3">
      <c r="A424" s="114"/>
      <c r="B424" s="114"/>
      <c r="CK424" s="114"/>
      <c r="CL424" s="114"/>
    </row>
    <row r="425" spans="1:90" x14ac:dyDescent="0.3">
      <c r="A425" s="114"/>
      <c r="B425" s="114"/>
      <c r="CK425" s="114"/>
      <c r="CL425" s="114"/>
    </row>
    <row r="426" spans="1:90" x14ac:dyDescent="0.3">
      <c r="A426" s="114"/>
      <c r="B426" s="114"/>
      <c r="CK426" s="114"/>
      <c r="CL426" s="114"/>
    </row>
    <row r="427" spans="1:90" x14ac:dyDescent="0.3">
      <c r="A427" s="114"/>
      <c r="B427" s="114"/>
      <c r="CK427" s="114"/>
      <c r="CL427" s="114"/>
    </row>
    <row r="428" spans="1:90" x14ac:dyDescent="0.3">
      <c r="A428" s="114"/>
      <c r="B428" s="114"/>
      <c r="CK428" s="114"/>
      <c r="CL428" s="114"/>
    </row>
    <row r="429" spans="1:90" x14ac:dyDescent="0.3">
      <c r="A429" s="114"/>
      <c r="B429" s="114"/>
      <c r="CK429" s="114"/>
      <c r="CL429" s="114"/>
    </row>
    <row r="430" spans="1:90" x14ac:dyDescent="0.3">
      <c r="A430" s="114"/>
      <c r="B430" s="114"/>
      <c r="CK430" s="114"/>
      <c r="CL430" s="114"/>
    </row>
    <row r="431" spans="1:90" x14ac:dyDescent="0.3">
      <c r="A431" s="114"/>
      <c r="B431" s="114"/>
      <c r="CK431" s="114"/>
      <c r="CL431" s="114"/>
    </row>
    <row r="432" spans="1:90" x14ac:dyDescent="0.3">
      <c r="A432" s="114"/>
      <c r="B432" s="114"/>
      <c r="CK432" s="114"/>
      <c r="CL432" s="114"/>
    </row>
    <row r="433" spans="1:90" x14ac:dyDescent="0.3">
      <c r="A433" s="114"/>
      <c r="B433" s="114"/>
      <c r="CK433" s="114"/>
      <c r="CL433" s="114"/>
    </row>
    <row r="434" spans="1:90" x14ac:dyDescent="0.3">
      <c r="A434" s="114"/>
      <c r="B434" s="114"/>
      <c r="CK434" s="114"/>
      <c r="CL434" s="114"/>
    </row>
    <row r="435" spans="1:90" x14ac:dyDescent="0.3">
      <c r="A435" s="114"/>
      <c r="B435" s="114"/>
      <c r="CK435" s="114"/>
      <c r="CL435" s="114"/>
    </row>
    <row r="436" spans="1:90" x14ac:dyDescent="0.3">
      <c r="A436" s="114"/>
      <c r="B436" s="114"/>
      <c r="CK436" s="114"/>
      <c r="CL436" s="114"/>
    </row>
    <row r="437" spans="1:90" x14ac:dyDescent="0.3">
      <c r="A437" s="114"/>
      <c r="B437" s="114"/>
      <c r="CK437" s="114"/>
      <c r="CL437" s="114"/>
    </row>
    <row r="438" spans="1:90" x14ac:dyDescent="0.3">
      <c r="A438" s="114"/>
      <c r="B438" s="114"/>
      <c r="CK438" s="114"/>
      <c r="CL438" s="114"/>
    </row>
    <row r="439" spans="1:90" x14ac:dyDescent="0.3">
      <c r="A439" s="114"/>
      <c r="B439" s="114"/>
      <c r="CK439" s="114"/>
      <c r="CL439" s="114"/>
    </row>
    <row r="440" spans="1:90" x14ac:dyDescent="0.3">
      <c r="A440" s="114"/>
      <c r="B440" s="114"/>
      <c r="CK440" s="114"/>
      <c r="CL440" s="114"/>
    </row>
    <row r="441" spans="1:90" x14ac:dyDescent="0.3">
      <c r="A441" s="114"/>
      <c r="B441" s="114"/>
      <c r="CK441" s="114"/>
      <c r="CL441" s="114"/>
    </row>
    <row r="442" spans="1:90" x14ac:dyDescent="0.3">
      <c r="A442" s="114"/>
      <c r="B442" s="114"/>
      <c r="CK442" s="114"/>
      <c r="CL442" s="114"/>
    </row>
    <row r="443" spans="1:90" x14ac:dyDescent="0.3">
      <c r="A443" s="114"/>
      <c r="B443" s="114"/>
      <c r="CK443" s="114"/>
      <c r="CL443" s="114"/>
    </row>
    <row r="444" spans="1:90" x14ac:dyDescent="0.3">
      <c r="A444" s="114"/>
      <c r="B444" s="114"/>
      <c r="CK444" s="114"/>
      <c r="CL444" s="114"/>
    </row>
    <row r="445" spans="1:90" x14ac:dyDescent="0.3">
      <c r="A445" s="114"/>
      <c r="B445" s="114"/>
      <c r="CK445" s="114"/>
      <c r="CL445" s="114"/>
    </row>
    <row r="446" spans="1:90" x14ac:dyDescent="0.3">
      <c r="A446" s="114"/>
      <c r="B446" s="114"/>
      <c r="CK446" s="114"/>
      <c r="CL446" s="114"/>
    </row>
    <row r="447" spans="1:90" x14ac:dyDescent="0.3">
      <c r="A447" s="114"/>
      <c r="B447" s="114"/>
      <c r="CK447" s="114"/>
      <c r="CL447" s="114"/>
    </row>
    <row r="448" spans="1:90" x14ac:dyDescent="0.3">
      <c r="A448" s="114"/>
      <c r="B448" s="114"/>
      <c r="CK448" s="114"/>
      <c r="CL448" s="114"/>
    </row>
    <row r="449" spans="1:90" x14ac:dyDescent="0.3">
      <c r="A449" s="114"/>
      <c r="B449" s="114"/>
      <c r="CK449" s="114"/>
      <c r="CL449" s="114"/>
    </row>
    <row r="450" spans="1:90" x14ac:dyDescent="0.3">
      <c r="A450" s="114"/>
      <c r="B450" s="114"/>
      <c r="CK450" s="114"/>
      <c r="CL450" s="114"/>
    </row>
    <row r="451" spans="1:90" x14ac:dyDescent="0.3">
      <c r="A451" s="114"/>
      <c r="B451" s="114"/>
      <c r="CK451" s="114"/>
      <c r="CL451" s="114"/>
    </row>
    <row r="452" spans="1:90" x14ac:dyDescent="0.3">
      <c r="A452" s="114"/>
      <c r="B452" s="114"/>
      <c r="CK452" s="114"/>
      <c r="CL452" s="114"/>
    </row>
    <row r="453" spans="1:90" x14ac:dyDescent="0.3">
      <c r="A453" s="114"/>
      <c r="B453" s="114"/>
      <c r="CK453" s="114"/>
      <c r="CL453" s="114"/>
    </row>
    <row r="454" spans="1:90" x14ac:dyDescent="0.3">
      <c r="A454" s="114"/>
      <c r="B454" s="114"/>
      <c r="CK454" s="114"/>
      <c r="CL454" s="114"/>
    </row>
    <row r="455" spans="1:90" x14ac:dyDescent="0.3">
      <c r="A455" s="114"/>
      <c r="B455" s="114"/>
      <c r="CK455" s="114"/>
      <c r="CL455" s="114"/>
    </row>
    <row r="456" spans="1:90" x14ac:dyDescent="0.3">
      <c r="A456" s="114"/>
      <c r="B456" s="114"/>
      <c r="CK456" s="114"/>
      <c r="CL456" s="114"/>
    </row>
    <row r="457" spans="1:90" x14ac:dyDescent="0.3">
      <c r="A457" s="114"/>
      <c r="B457" s="114"/>
      <c r="CK457" s="114"/>
      <c r="CL457" s="114"/>
    </row>
    <row r="458" spans="1:90" x14ac:dyDescent="0.3">
      <c r="A458" s="114"/>
      <c r="B458" s="114"/>
      <c r="CK458" s="114"/>
      <c r="CL458" s="114"/>
    </row>
    <row r="459" spans="1:90" x14ac:dyDescent="0.3">
      <c r="A459" s="114"/>
      <c r="B459" s="114"/>
      <c r="CK459" s="114"/>
      <c r="CL459" s="114"/>
    </row>
    <row r="460" spans="1:90" x14ac:dyDescent="0.3">
      <c r="A460" s="114"/>
      <c r="B460" s="114"/>
      <c r="CK460" s="114"/>
      <c r="CL460" s="114"/>
    </row>
    <row r="461" spans="1:90" x14ac:dyDescent="0.3">
      <c r="A461" s="114"/>
      <c r="B461" s="114"/>
      <c r="CK461" s="114"/>
      <c r="CL461" s="114"/>
    </row>
    <row r="462" spans="1:90" x14ac:dyDescent="0.3">
      <c r="A462" s="114"/>
      <c r="B462" s="114"/>
      <c r="CK462" s="114"/>
      <c r="CL462" s="114"/>
    </row>
    <row r="463" spans="1:90" x14ac:dyDescent="0.3">
      <c r="A463" s="114"/>
      <c r="B463" s="114"/>
      <c r="CK463" s="114"/>
      <c r="CL463" s="114"/>
    </row>
    <row r="464" spans="1:90" x14ac:dyDescent="0.3">
      <c r="A464" s="114"/>
      <c r="B464" s="114"/>
      <c r="CK464" s="114"/>
      <c r="CL464" s="114"/>
    </row>
    <row r="465" spans="1:90" x14ac:dyDescent="0.3">
      <c r="A465" s="114"/>
      <c r="B465" s="114"/>
      <c r="CK465" s="114"/>
      <c r="CL465" s="114"/>
    </row>
    <row r="466" spans="1:90" x14ac:dyDescent="0.3">
      <c r="A466" s="114"/>
      <c r="B466" s="114"/>
      <c r="CK466" s="114"/>
      <c r="CL466" s="114"/>
    </row>
    <row r="467" spans="1:90" x14ac:dyDescent="0.3">
      <c r="A467" s="114"/>
      <c r="B467" s="114"/>
      <c r="CK467" s="114"/>
      <c r="CL467" s="114"/>
    </row>
    <row r="468" spans="1:90" x14ac:dyDescent="0.3">
      <c r="A468" s="114"/>
      <c r="B468" s="114"/>
      <c r="CK468" s="114"/>
      <c r="CL468" s="114"/>
    </row>
    <row r="469" spans="1:90" x14ac:dyDescent="0.3">
      <c r="A469" s="114"/>
      <c r="B469" s="114"/>
      <c r="CK469" s="114"/>
      <c r="CL469" s="114"/>
    </row>
    <row r="470" spans="1:90" x14ac:dyDescent="0.3">
      <c r="A470" s="114"/>
      <c r="B470" s="114"/>
      <c r="CK470" s="114"/>
      <c r="CL470" s="114"/>
    </row>
    <row r="471" spans="1:90" x14ac:dyDescent="0.3">
      <c r="A471" s="114"/>
      <c r="B471" s="114"/>
      <c r="CK471" s="114"/>
      <c r="CL471" s="114"/>
    </row>
    <row r="472" spans="1:90" x14ac:dyDescent="0.3">
      <c r="A472" s="114"/>
      <c r="B472" s="114"/>
      <c r="CK472" s="114"/>
      <c r="CL472" s="114"/>
    </row>
    <row r="473" spans="1:90" x14ac:dyDescent="0.3">
      <c r="A473" s="114"/>
      <c r="B473" s="114"/>
      <c r="CK473" s="114"/>
      <c r="CL473" s="114"/>
    </row>
    <row r="474" spans="1:90" x14ac:dyDescent="0.3">
      <c r="A474" s="114"/>
      <c r="B474" s="114"/>
      <c r="CK474" s="114"/>
      <c r="CL474" s="114"/>
    </row>
    <row r="475" spans="1:90" x14ac:dyDescent="0.3">
      <c r="A475" s="114"/>
      <c r="B475" s="114"/>
      <c r="CK475" s="114"/>
      <c r="CL475" s="114"/>
    </row>
    <row r="476" spans="1:90" x14ac:dyDescent="0.3">
      <c r="A476" s="114"/>
      <c r="B476" s="114"/>
      <c r="CK476" s="114"/>
      <c r="CL476" s="114"/>
    </row>
    <row r="477" spans="1:90" x14ac:dyDescent="0.3">
      <c r="A477" s="114"/>
      <c r="B477" s="114"/>
      <c r="CK477" s="114"/>
      <c r="CL477" s="114"/>
    </row>
    <row r="478" spans="1:90" x14ac:dyDescent="0.3">
      <c r="A478" s="114"/>
      <c r="B478" s="114"/>
      <c r="CK478" s="114"/>
      <c r="CL478" s="114"/>
    </row>
    <row r="479" spans="1:90" x14ac:dyDescent="0.3">
      <c r="A479" s="114"/>
      <c r="B479" s="114"/>
      <c r="CK479" s="114"/>
      <c r="CL479" s="114"/>
    </row>
    <row r="480" spans="1:90" x14ac:dyDescent="0.3">
      <c r="A480" s="114"/>
      <c r="B480" s="114"/>
      <c r="CK480" s="114"/>
      <c r="CL480" s="114"/>
    </row>
    <row r="481" spans="1:90" x14ac:dyDescent="0.3">
      <c r="A481" s="114"/>
      <c r="B481" s="114"/>
      <c r="CK481" s="114"/>
      <c r="CL481" s="114"/>
    </row>
    <row r="482" spans="1:90" x14ac:dyDescent="0.3">
      <c r="A482" s="114"/>
      <c r="B482" s="114"/>
      <c r="CK482" s="114"/>
      <c r="CL482" s="114"/>
    </row>
    <row r="483" spans="1:90" x14ac:dyDescent="0.3">
      <c r="A483" s="114"/>
      <c r="B483" s="114"/>
      <c r="CK483" s="114"/>
      <c r="CL483" s="114"/>
    </row>
    <row r="484" spans="1:90" x14ac:dyDescent="0.3">
      <c r="A484" s="114"/>
      <c r="B484" s="114"/>
      <c r="CK484" s="114"/>
      <c r="CL484" s="114"/>
    </row>
    <row r="485" spans="1:90" x14ac:dyDescent="0.3">
      <c r="A485" s="114"/>
      <c r="B485" s="114"/>
      <c r="CK485" s="114"/>
      <c r="CL485" s="114"/>
    </row>
    <row r="486" spans="1:90" x14ac:dyDescent="0.3">
      <c r="A486" s="114"/>
      <c r="B486" s="114"/>
      <c r="CK486" s="114"/>
      <c r="CL486" s="114"/>
    </row>
    <row r="487" spans="1:90" x14ac:dyDescent="0.3">
      <c r="A487" s="114"/>
      <c r="B487" s="114"/>
      <c r="CK487" s="114"/>
      <c r="CL487" s="114"/>
    </row>
    <row r="488" spans="1:90" x14ac:dyDescent="0.3">
      <c r="A488" s="114"/>
      <c r="B488" s="114"/>
      <c r="CK488" s="114"/>
      <c r="CL488" s="114"/>
    </row>
    <row r="489" spans="1:90" x14ac:dyDescent="0.3">
      <c r="A489" s="114"/>
      <c r="B489" s="114"/>
      <c r="CK489" s="114"/>
      <c r="CL489" s="114"/>
    </row>
    <row r="490" spans="1:90" x14ac:dyDescent="0.3">
      <c r="A490" s="114"/>
      <c r="B490" s="114"/>
      <c r="CK490" s="114"/>
      <c r="CL490" s="114"/>
    </row>
    <row r="491" spans="1:90" x14ac:dyDescent="0.3">
      <c r="A491" s="114"/>
      <c r="B491" s="114"/>
      <c r="CK491" s="114"/>
      <c r="CL491" s="114"/>
    </row>
    <row r="492" spans="1:90" x14ac:dyDescent="0.3">
      <c r="A492" s="114"/>
      <c r="B492" s="114"/>
      <c r="CK492" s="114"/>
      <c r="CL492" s="114"/>
    </row>
    <row r="493" spans="1:90" x14ac:dyDescent="0.3">
      <c r="A493" s="114"/>
      <c r="B493" s="114"/>
      <c r="CK493" s="114"/>
      <c r="CL493" s="114"/>
    </row>
    <row r="494" spans="1:90" x14ac:dyDescent="0.3">
      <c r="A494" s="114"/>
      <c r="B494" s="114"/>
      <c r="CK494" s="114"/>
      <c r="CL494" s="114"/>
    </row>
    <row r="495" spans="1:90" x14ac:dyDescent="0.3">
      <c r="A495" s="114"/>
      <c r="B495" s="114"/>
      <c r="CK495" s="114"/>
      <c r="CL495" s="114"/>
    </row>
    <row r="496" spans="1:90" x14ac:dyDescent="0.3">
      <c r="A496" s="114"/>
      <c r="B496" s="114"/>
      <c r="CK496" s="114"/>
      <c r="CL496" s="114"/>
    </row>
    <row r="497" spans="1:90" x14ac:dyDescent="0.3">
      <c r="A497" s="114"/>
      <c r="B497" s="114"/>
      <c r="CK497" s="114"/>
      <c r="CL497" s="114"/>
    </row>
    <row r="498" spans="1:90" x14ac:dyDescent="0.3">
      <c r="A498" s="114"/>
      <c r="B498" s="114"/>
      <c r="CK498" s="114"/>
      <c r="CL498" s="114"/>
    </row>
    <row r="499" spans="1:90" x14ac:dyDescent="0.3">
      <c r="A499" s="114"/>
      <c r="B499" s="114"/>
      <c r="CK499" s="114"/>
      <c r="CL499" s="114"/>
    </row>
    <row r="500" spans="1:90" x14ac:dyDescent="0.3">
      <c r="A500" s="114"/>
      <c r="B500" s="114"/>
      <c r="CK500" s="114"/>
      <c r="CL500" s="114"/>
    </row>
    <row r="501" spans="1:90" x14ac:dyDescent="0.3">
      <c r="A501" s="114"/>
      <c r="B501" s="114"/>
      <c r="CK501" s="114"/>
      <c r="CL501" s="114"/>
    </row>
    <row r="502" spans="1:90" x14ac:dyDescent="0.3">
      <c r="A502" s="114"/>
      <c r="B502" s="114"/>
      <c r="CK502" s="114"/>
      <c r="CL502" s="114"/>
    </row>
    <row r="503" spans="1:90" x14ac:dyDescent="0.3">
      <c r="A503" s="114"/>
      <c r="B503" s="114"/>
      <c r="CK503" s="114"/>
      <c r="CL503" s="114"/>
    </row>
    <row r="504" spans="1:90" x14ac:dyDescent="0.3">
      <c r="A504" s="114"/>
      <c r="B504" s="114"/>
      <c r="CK504" s="114"/>
      <c r="CL504" s="114"/>
    </row>
    <row r="505" spans="1:90" x14ac:dyDescent="0.3">
      <c r="A505" s="114"/>
      <c r="B505" s="114"/>
      <c r="CK505" s="114"/>
      <c r="CL505" s="114"/>
    </row>
    <row r="506" spans="1:90" x14ac:dyDescent="0.3">
      <c r="A506" s="114"/>
      <c r="B506" s="114"/>
      <c r="CK506" s="114"/>
      <c r="CL506" s="114"/>
    </row>
    <row r="507" spans="1:90" x14ac:dyDescent="0.3">
      <c r="A507" s="114"/>
      <c r="B507" s="114"/>
      <c r="CK507" s="114"/>
      <c r="CL507" s="114"/>
    </row>
    <row r="508" spans="1:90" x14ac:dyDescent="0.3">
      <c r="A508" s="114"/>
      <c r="B508" s="114"/>
      <c r="CK508" s="114"/>
      <c r="CL508" s="114"/>
    </row>
    <row r="509" spans="1:90" x14ac:dyDescent="0.3">
      <c r="A509" s="114"/>
      <c r="B509" s="114"/>
      <c r="CK509" s="114"/>
      <c r="CL509" s="114"/>
    </row>
    <row r="510" spans="1:90" x14ac:dyDescent="0.3">
      <c r="A510" s="114"/>
      <c r="B510" s="114"/>
      <c r="CK510" s="114"/>
      <c r="CL510" s="114"/>
    </row>
    <row r="511" spans="1:90" x14ac:dyDescent="0.3">
      <c r="A511" s="114"/>
      <c r="B511" s="114"/>
      <c r="CK511" s="114"/>
      <c r="CL511" s="114"/>
    </row>
    <row r="512" spans="1:90" x14ac:dyDescent="0.3">
      <c r="A512" s="114"/>
      <c r="B512" s="114"/>
      <c r="CK512" s="114"/>
      <c r="CL512" s="114"/>
    </row>
    <row r="513" spans="1:90" x14ac:dyDescent="0.3">
      <c r="A513" s="114"/>
      <c r="B513" s="114"/>
      <c r="CK513" s="114"/>
      <c r="CL513" s="114"/>
    </row>
    <row r="514" spans="1:90" x14ac:dyDescent="0.3">
      <c r="A514" s="114"/>
      <c r="B514" s="114"/>
      <c r="CK514" s="114"/>
      <c r="CL514" s="114"/>
    </row>
    <row r="515" spans="1:90" x14ac:dyDescent="0.3">
      <c r="A515" s="114"/>
      <c r="B515" s="114"/>
      <c r="CK515" s="114"/>
      <c r="CL515" s="114"/>
    </row>
    <row r="516" spans="1:90" x14ac:dyDescent="0.3">
      <c r="A516" s="114"/>
      <c r="B516" s="114"/>
      <c r="CK516" s="114"/>
      <c r="CL516" s="114"/>
    </row>
    <row r="517" spans="1:90" x14ac:dyDescent="0.3">
      <c r="A517" s="114"/>
      <c r="B517" s="114"/>
      <c r="CK517" s="114"/>
      <c r="CL517" s="114"/>
    </row>
    <row r="518" spans="1:90" x14ac:dyDescent="0.3">
      <c r="A518" s="114"/>
      <c r="B518" s="114"/>
      <c r="CK518" s="114"/>
      <c r="CL518" s="114"/>
    </row>
    <row r="519" spans="1:90" x14ac:dyDescent="0.3">
      <c r="A519" s="114"/>
      <c r="B519" s="114"/>
      <c r="CK519" s="114"/>
      <c r="CL519" s="114"/>
    </row>
    <row r="520" spans="1:90" x14ac:dyDescent="0.3">
      <c r="A520" s="114"/>
      <c r="B520" s="114"/>
      <c r="CK520" s="114"/>
      <c r="CL520" s="114"/>
    </row>
    <row r="521" spans="1:90" x14ac:dyDescent="0.3">
      <c r="A521" s="114"/>
      <c r="B521" s="114"/>
      <c r="CK521" s="114"/>
      <c r="CL521" s="114"/>
    </row>
    <row r="522" spans="1:90" x14ac:dyDescent="0.3">
      <c r="A522" s="114"/>
      <c r="B522" s="114"/>
      <c r="CK522" s="114"/>
      <c r="CL522" s="114"/>
    </row>
    <row r="523" spans="1:90" x14ac:dyDescent="0.3">
      <c r="A523" s="114"/>
      <c r="B523" s="114"/>
      <c r="CK523" s="114"/>
      <c r="CL523" s="114"/>
    </row>
    <row r="524" spans="1:90" x14ac:dyDescent="0.3">
      <c r="A524" s="114"/>
      <c r="B524" s="114"/>
      <c r="CK524" s="114"/>
      <c r="CL524" s="114"/>
    </row>
    <row r="525" spans="1:90" x14ac:dyDescent="0.3">
      <c r="A525" s="114"/>
      <c r="B525" s="114"/>
      <c r="CK525" s="114"/>
      <c r="CL525" s="114"/>
    </row>
    <row r="526" spans="1:90" x14ac:dyDescent="0.3">
      <c r="A526" s="114"/>
      <c r="B526" s="114"/>
      <c r="CK526" s="114"/>
      <c r="CL526" s="114"/>
    </row>
    <row r="527" spans="1:90" x14ac:dyDescent="0.3">
      <c r="A527" s="114"/>
      <c r="B527" s="114"/>
      <c r="CK527" s="114"/>
      <c r="CL527" s="114"/>
    </row>
    <row r="528" spans="1:90" x14ac:dyDescent="0.3">
      <c r="A528" s="114"/>
      <c r="B528" s="114"/>
      <c r="CK528" s="114"/>
      <c r="CL528" s="114"/>
    </row>
    <row r="529" spans="1:90" x14ac:dyDescent="0.3">
      <c r="A529" s="114"/>
      <c r="B529" s="114"/>
      <c r="CK529" s="114"/>
      <c r="CL529" s="114"/>
    </row>
    <row r="530" spans="1:90" x14ac:dyDescent="0.3">
      <c r="A530" s="114"/>
      <c r="B530" s="114"/>
      <c r="CK530" s="114"/>
      <c r="CL530" s="114"/>
    </row>
    <row r="531" spans="1:90" x14ac:dyDescent="0.3">
      <c r="A531" s="114"/>
      <c r="B531" s="114"/>
      <c r="CK531" s="114"/>
      <c r="CL531" s="114"/>
    </row>
    <row r="532" spans="1:90" x14ac:dyDescent="0.3">
      <c r="A532" s="114"/>
      <c r="B532" s="114"/>
      <c r="CK532" s="114"/>
      <c r="CL532" s="114"/>
    </row>
    <row r="533" spans="1:90" x14ac:dyDescent="0.3">
      <c r="A533" s="114"/>
      <c r="B533" s="114"/>
      <c r="CK533" s="114"/>
      <c r="CL533" s="114"/>
    </row>
    <row r="534" spans="1:90" x14ac:dyDescent="0.3">
      <c r="A534" s="114"/>
      <c r="B534" s="114"/>
      <c r="CK534" s="114"/>
      <c r="CL534" s="114"/>
    </row>
    <row r="535" spans="1:90" x14ac:dyDescent="0.3">
      <c r="A535" s="114"/>
      <c r="B535" s="114"/>
      <c r="CK535" s="114"/>
      <c r="CL535" s="114"/>
    </row>
    <row r="536" spans="1:90" x14ac:dyDescent="0.3">
      <c r="A536" s="114"/>
      <c r="B536" s="114"/>
      <c r="CK536" s="114"/>
      <c r="CL536" s="114"/>
    </row>
    <row r="537" spans="1:90" x14ac:dyDescent="0.3">
      <c r="A537" s="114"/>
      <c r="B537" s="114"/>
      <c r="CK537" s="114"/>
      <c r="CL537" s="114"/>
    </row>
    <row r="538" spans="1:90" x14ac:dyDescent="0.3">
      <c r="A538" s="114"/>
      <c r="B538" s="114"/>
      <c r="CK538" s="114"/>
      <c r="CL538" s="114"/>
    </row>
    <row r="539" spans="1:90" x14ac:dyDescent="0.3">
      <c r="A539" s="114"/>
      <c r="B539" s="114"/>
      <c r="CK539" s="114"/>
      <c r="CL539" s="114"/>
    </row>
    <row r="540" spans="1:90" x14ac:dyDescent="0.3">
      <c r="A540" s="114"/>
      <c r="B540" s="114"/>
      <c r="CK540" s="114"/>
      <c r="CL540" s="114"/>
    </row>
    <row r="541" spans="1:90" x14ac:dyDescent="0.3">
      <c r="A541" s="114"/>
      <c r="B541" s="114"/>
      <c r="CK541" s="114"/>
      <c r="CL541" s="114"/>
    </row>
    <row r="542" spans="1:90" x14ac:dyDescent="0.3">
      <c r="A542" s="114"/>
      <c r="B542" s="114"/>
      <c r="CK542" s="114"/>
      <c r="CL542" s="114"/>
    </row>
    <row r="543" spans="1:90" x14ac:dyDescent="0.3">
      <c r="A543" s="114"/>
      <c r="B543" s="114"/>
      <c r="CK543" s="114"/>
      <c r="CL543" s="114"/>
    </row>
    <row r="544" spans="1:90" x14ac:dyDescent="0.3">
      <c r="A544" s="114"/>
      <c r="B544" s="114"/>
      <c r="CK544" s="114"/>
      <c r="CL544" s="114"/>
    </row>
    <row r="545" spans="1:90" x14ac:dyDescent="0.3">
      <c r="A545" s="114"/>
      <c r="B545" s="114"/>
      <c r="CK545" s="114"/>
      <c r="CL545" s="114"/>
    </row>
    <row r="546" spans="1:90" x14ac:dyDescent="0.3">
      <c r="A546" s="114"/>
      <c r="B546" s="114"/>
      <c r="CK546" s="114"/>
      <c r="CL546" s="114"/>
    </row>
    <row r="547" spans="1:90" x14ac:dyDescent="0.3">
      <c r="A547" s="114"/>
      <c r="B547" s="114"/>
      <c r="CK547" s="114"/>
      <c r="CL547" s="114"/>
    </row>
    <row r="548" spans="1:90" x14ac:dyDescent="0.3">
      <c r="A548" s="114"/>
      <c r="B548" s="114"/>
      <c r="CK548" s="114"/>
      <c r="CL548" s="114"/>
    </row>
    <row r="549" spans="1:90" x14ac:dyDescent="0.3">
      <c r="A549" s="114"/>
      <c r="B549" s="114"/>
      <c r="CK549" s="114"/>
    </row>
    <row r="550" spans="1:90" x14ac:dyDescent="0.3">
      <c r="A550" s="114"/>
      <c r="B550" s="114"/>
      <c r="CK550" s="114"/>
    </row>
    <row r="551" spans="1:90" x14ac:dyDescent="0.3">
      <c r="A551" s="114"/>
      <c r="B551" s="114"/>
      <c r="CK551" s="114"/>
    </row>
    <row r="552" spans="1:90" x14ac:dyDescent="0.3">
      <c r="A552" s="114"/>
      <c r="B552" s="114"/>
      <c r="CK552" s="114"/>
    </row>
    <row r="553" spans="1:90" x14ac:dyDescent="0.3">
      <c r="A553" s="114"/>
      <c r="B553" s="114"/>
      <c r="CK553" s="114"/>
    </row>
    <row r="554" spans="1:90" x14ac:dyDescent="0.3">
      <c r="A554" s="114"/>
      <c r="B554" s="114"/>
      <c r="CK554" s="114"/>
    </row>
    <row r="555" spans="1:90" x14ac:dyDescent="0.3">
      <c r="A555" s="114"/>
      <c r="B555" s="114"/>
      <c r="CK555" s="114"/>
    </row>
    <row r="556" spans="1:90" x14ac:dyDescent="0.3">
      <c r="A556" s="114"/>
      <c r="B556" s="114"/>
      <c r="CK556" s="114"/>
    </row>
    <row r="557" spans="1:90" x14ac:dyDescent="0.3">
      <c r="A557" s="114"/>
      <c r="B557" s="114"/>
      <c r="CK557" s="114"/>
    </row>
    <row r="558" spans="1:90" x14ac:dyDescent="0.3">
      <c r="A558" s="114"/>
      <c r="B558" s="114"/>
      <c r="CK558" s="114"/>
    </row>
    <row r="559" spans="1:90" x14ac:dyDescent="0.3">
      <c r="A559" s="114"/>
      <c r="B559" s="114"/>
      <c r="CK559" s="114"/>
    </row>
    <row r="560" spans="1:90" x14ac:dyDescent="0.3">
      <c r="A560" s="114"/>
      <c r="B560" s="114"/>
      <c r="CK560" s="114"/>
    </row>
    <row r="561" spans="1:89" x14ac:dyDescent="0.3">
      <c r="A561" s="114"/>
      <c r="B561" s="114"/>
      <c r="CK561" s="114"/>
    </row>
    <row r="562" spans="1:89" x14ac:dyDescent="0.3">
      <c r="A562" s="114"/>
      <c r="B562" s="114"/>
      <c r="CK562" s="114"/>
    </row>
    <row r="563" spans="1:89" x14ac:dyDescent="0.3">
      <c r="A563" s="114"/>
      <c r="B563" s="114"/>
      <c r="CK563" s="114"/>
    </row>
    <row r="564" spans="1:89" x14ac:dyDescent="0.3">
      <c r="A564" s="114"/>
      <c r="B564" s="114"/>
      <c r="CK564" s="114"/>
    </row>
    <row r="565" spans="1:89" x14ac:dyDescent="0.3">
      <c r="A565" s="114"/>
      <c r="B565" s="114"/>
      <c r="CK565" s="114"/>
    </row>
    <row r="566" spans="1:89" x14ac:dyDescent="0.3">
      <c r="A566" s="114"/>
      <c r="B566" s="114"/>
      <c r="CK566" s="114"/>
    </row>
    <row r="567" spans="1:89" x14ac:dyDescent="0.3">
      <c r="A567" s="114"/>
      <c r="B567" s="114"/>
      <c r="CK567" s="114"/>
    </row>
    <row r="568" spans="1:89" x14ac:dyDescent="0.3">
      <c r="A568" s="114"/>
      <c r="B568" s="114"/>
      <c r="CK568" s="114"/>
    </row>
    <row r="569" spans="1:89" x14ac:dyDescent="0.3">
      <c r="A569" s="114"/>
      <c r="B569" s="114"/>
      <c r="CK569" s="114"/>
    </row>
    <row r="570" spans="1:89" x14ac:dyDescent="0.3">
      <c r="A570" s="114"/>
      <c r="B570" s="114"/>
      <c r="CK570" s="114"/>
    </row>
    <row r="571" spans="1:89" x14ac:dyDescent="0.3">
      <c r="A571" s="114"/>
      <c r="B571" s="114"/>
      <c r="CK571" s="114"/>
    </row>
    <row r="572" spans="1:89" x14ac:dyDescent="0.3">
      <c r="A572" s="114"/>
      <c r="B572" s="114"/>
      <c r="CK572" s="114"/>
    </row>
    <row r="573" spans="1:89" x14ac:dyDescent="0.3">
      <c r="A573" s="114"/>
      <c r="B573" s="114"/>
      <c r="CK573" s="114"/>
    </row>
    <row r="574" spans="1:89" x14ac:dyDescent="0.3">
      <c r="A574" s="114"/>
      <c r="B574" s="114"/>
      <c r="CK574" s="114"/>
    </row>
    <row r="575" spans="1:89" x14ac:dyDescent="0.3">
      <c r="A575" s="114"/>
      <c r="B575" s="114"/>
      <c r="CK575" s="114"/>
    </row>
    <row r="576" spans="1:89" x14ac:dyDescent="0.3">
      <c r="A576" s="114"/>
      <c r="B576" s="114"/>
      <c r="CK576" s="114"/>
    </row>
    <row r="577" spans="1:89" x14ac:dyDescent="0.3">
      <c r="A577" s="114"/>
      <c r="B577" s="114"/>
      <c r="CK577" s="114"/>
    </row>
    <row r="578" spans="1:89" x14ac:dyDescent="0.3">
      <c r="A578" s="114"/>
      <c r="B578" s="114"/>
      <c r="CK578" s="114"/>
    </row>
    <row r="579" spans="1:89" x14ac:dyDescent="0.3">
      <c r="A579" s="114"/>
      <c r="B579" s="114"/>
      <c r="CK579" s="114"/>
    </row>
    <row r="580" spans="1:89" x14ac:dyDescent="0.3">
      <c r="A580" s="114"/>
      <c r="B580" s="114"/>
      <c r="CK580" s="114"/>
    </row>
    <row r="581" spans="1:89" x14ac:dyDescent="0.3">
      <c r="A581" s="114"/>
      <c r="B581" s="114"/>
      <c r="CK581" s="114"/>
    </row>
    <row r="582" spans="1:89" x14ac:dyDescent="0.3">
      <c r="A582" s="114"/>
      <c r="B582" s="114"/>
      <c r="CK582" s="114"/>
    </row>
    <row r="583" spans="1:89" x14ac:dyDescent="0.3">
      <c r="A583" s="114"/>
      <c r="B583" s="114"/>
      <c r="CK583" s="114"/>
    </row>
    <row r="584" spans="1:89" x14ac:dyDescent="0.3">
      <c r="A584" s="114"/>
      <c r="B584" s="114"/>
      <c r="CK584" s="114"/>
    </row>
    <row r="585" spans="1:89" x14ac:dyDescent="0.3">
      <c r="A585" s="114"/>
      <c r="B585" s="114"/>
      <c r="CK585" s="114"/>
    </row>
    <row r="586" spans="1:89" x14ac:dyDescent="0.3">
      <c r="A586" s="114"/>
      <c r="B586" s="114"/>
      <c r="CK586" s="114"/>
    </row>
    <row r="587" spans="1:89" x14ac:dyDescent="0.3">
      <c r="A587" s="114"/>
      <c r="B587" s="114"/>
      <c r="CK587" s="114"/>
    </row>
    <row r="588" spans="1:89" x14ac:dyDescent="0.3">
      <c r="A588" s="114"/>
      <c r="B588" s="114"/>
      <c r="CK588" s="114"/>
    </row>
    <row r="589" spans="1:89" x14ac:dyDescent="0.3">
      <c r="A589" s="114"/>
      <c r="B589" s="114"/>
      <c r="CK589" s="114"/>
    </row>
    <row r="590" spans="1:89" x14ac:dyDescent="0.3">
      <c r="A590" s="114"/>
      <c r="B590" s="114"/>
      <c r="CK590" s="114"/>
    </row>
    <row r="591" spans="1:89" x14ac:dyDescent="0.3">
      <c r="A591" s="114"/>
      <c r="B591" s="114"/>
      <c r="CK591" s="114"/>
    </row>
    <row r="592" spans="1:89" x14ac:dyDescent="0.3">
      <c r="A592" s="114"/>
      <c r="B592" s="114"/>
      <c r="CK592" s="114"/>
    </row>
    <row r="593" spans="1:89" x14ac:dyDescent="0.3">
      <c r="A593" s="114"/>
      <c r="B593" s="114"/>
      <c r="CK593" s="114"/>
    </row>
    <row r="594" spans="1:89" x14ac:dyDescent="0.3">
      <c r="A594" s="114"/>
      <c r="B594" s="114"/>
      <c r="CK594" s="114"/>
    </row>
    <row r="595" spans="1:89" x14ac:dyDescent="0.3">
      <c r="A595" s="114"/>
      <c r="B595" s="114"/>
    </row>
    <row r="596" spans="1:89" x14ac:dyDescent="0.3">
      <c r="A596" s="114"/>
      <c r="B596" s="114"/>
    </row>
    <row r="597" spans="1:89" x14ac:dyDescent="0.3">
      <c r="A597" s="114"/>
      <c r="B597" s="114"/>
    </row>
    <row r="598" spans="1:89" x14ac:dyDescent="0.3">
      <c r="A598" s="114"/>
      <c r="B598" s="114"/>
    </row>
    <row r="599" spans="1:89" x14ac:dyDescent="0.3">
      <c r="A599" s="114"/>
      <c r="B599" s="114"/>
    </row>
    <row r="600" spans="1:89" x14ac:dyDescent="0.3">
      <c r="A600" s="114"/>
      <c r="B600" s="114"/>
    </row>
    <row r="601" spans="1:89" x14ac:dyDescent="0.3">
      <c r="A601" s="114"/>
      <c r="B601" s="114"/>
    </row>
    <row r="602" spans="1:89" x14ac:dyDescent="0.3">
      <c r="A602" s="114"/>
      <c r="B602" s="114"/>
    </row>
    <row r="603" spans="1:89" x14ac:dyDescent="0.3">
      <c r="A603" s="114"/>
      <c r="B603" s="114"/>
    </row>
    <row r="604" spans="1:89" x14ac:dyDescent="0.3">
      <c r="A604" s="114"/>
      <c r="B604" s="114"/>
    </row>
    <row r="605" spans="1:89" x14ac:dyDescent="0.3">
      <c r="A605" s="114"/>
      <c r="B605" s="114"/>
    </row>
    <row r="606" spans="1:89" x14ac:dyDescent="0.3">
      <c r="A606" s="114"/>
      <c r="B606" s="114"/>
    </row>
    <row r="607" spans="1:89" x14ac:dyDescent="0.3">
      <c r="A607" s="114"/>
      <c r="B607" s="114"/>
    </row>
    <row r="608" spans="1:89" x14ac:dyDescent="0.3">
      <c r="A608" s="114"/>
      <c r="B608" s="114"/>
    </row>
    <row r="609" spans="1:2" x14ac:dyDescent="0.3">
      <c r="A609" s="114"/>
      <c r="B609" s="114"/>
    </row>
    <row r="610" spans="1:2" x14ac:dyDescent="0.3">
      <c r="A610" s="114"/>
      <c r="B610" s="114"/>
    </row>
    <row r="611" spans="1:2" x14ac:dyDescent="0.3">
      <c r="A611" s="114"/>
      <c r="B611" s="114"/>
    </row>
    <row r="612" spans="1:2" x14ac:dyDescent="0.3">
      <c r="A612" s="114"/>
      <c r="B612" s="114"/>
    </row>
    <row r="613" spans="1:2" x14ac:dyDescent="0.3">
      <c r="A613" s="114"/>
      <c r="B613" s="114"/>
    </row>
    <row r="614" spans="1:2" x14ac:dyDescent="0.3">
      <c r="A614" s="114"/>
      <c r="B614" s="114"/>
    </row>
    <row r="615" spans="1:2" x14ac:dyDescent="0.3">
      <c r="A615" s="114"/>
      <c r="B615" s="114"/>
    </row>
    <row r="616" spans="1:2" x14ac:dyDescent="0.3">
      <c r="A616" s="114"/>
      <c r="B616" s="114"/>
    </row>
    <row r="617" spans="1:2" x14ac:dyDescent="0.3">
      <c r="A617" s="114"/>
      <c r="B617" s="114"/>
    </row>
    <row r="618" spans="1:2" x14ac:dyDescent="0.3">
      <c r="A618" s="114"/>
      <c r="B618" s="114"/>
    </row>
    <row r="619" spans="1:2" x14ac:dyDescent="0.3">
      <c r="A619" s="114"/>
      <c r="B619" s="114"/>
    </row>
    <row r="620" spans="1:2" x14ac:dyDescent="0.3">
      <c r="A620" s="114"/>
      <c r="B620" s="114"/>
    </row>
    <row r="621" spans="1:2" x14ac:dyDescent="0.3">
      <c r="A621" s="114"/>
      <c r="B621" s="114"/>
    </row>
    <row r="622" spans="1:2" x14ac:dyDescent="0.3">
      <c r="A622" s="114"/>
      <c r="B622" s="114"/>
    </row>
    <row r="623" spans="1:2" x14ac:dyDescent="0.3">
      <c r="A623" s="114"/>
      <c r="B623" s="114"/>
    </row>
    <row r="624" spans="1:2" x14ac:dyDescent="0.3">
      <c r="A624" s="114"/>
      <c r="B624" s="114"/>
    </row>
    <row r="625" spans="1:2" x14ac:dyDescent="0.3">
      <c r="A625" s="114"/>
      <c r="B625" s="114"/>
    </row>
    <row r="626" spans="1:2" x14ac:dyDescent="0.3">
      <c r="A626" s="114"/>
      <c r="B626" s="114"/>
    </row>
    <row r="627" spans="1:2" x14ac:dyDescent="0.3">
      <c r="A627" s="114"/>
      <c r="B627" s="114"/>
    </row>
    <row r="628" spans="1:2" x14ac:dyDescent="0.3">
      <c r="A628" s="114"/>
      <c r="B628" s="114"/>
    </row>
    <row r="629" spans="1:2" x14ac:dyDescent="0.3">
      <c r="A629" s="114"/>
      <c r="B629" s="114"/>
    </row>
    <row r="630" spans="1:2" x14ac:dyDescent="0.3">
      <c r="A630" s="114"/>
      <c r="B630" s="114"/>
    </row>
    <row r="631" spans="1:2" x14ac:dyDescent="0.3">
      <c r="A631" s="114"/>
      <c r="B631" s="114"/>
    </row>
    <row r="632" spans="1:2" x14ac:dyDescent="0.3">
      <c r="A632" s="114"/>
      <c r="B632" s="114"/>
    </row>
    <row r="633" spans="1:2" x14ac:dyDescent="0.3">
      <c r="A633" s="114"/>
      <c r="B633" s="114"/>
    </row>
    <row r="634" spans="1:2" x14ac:dyDescent="0.3">
      <c r="A634" s="114"/>
      <c r="B634" s="114"/>
    </row>
    <row r="635" spans="1:2" x14ac:dyDescent="0.3">
      <c r="A635" s="114"/>
      <c r="B635" s="114"/>
    </row>
    <row r="636" spans="1:2" x14ac:dyDescent="0.3">
      <c r="A636" s="114"/>
      <c r="B636" s="114"/>
    </row>
    <row r="637" spans="1:2" x14ac:dyDescent="0.3">
      <c r="A637" s="114"/>
      <c r="B637" s="114"/>
    </row>
    <row r="638" spans="1:2" x14ac:dyDescent="0.3">
      <c r="A638" s="114"/>
      <c r="B638" s="114"/>
    </row>
    <row r="639" spans="1:2" x14ac:dyDescent="0.3">
      <c r="A639" s="114"/>
      <c r="B639" s="114"/>
    </row>
    <row r="640" spans="1:2" x14ac:dyDescent="0.3">
      <c r="A640" s="114"/>
      <c r="B640" s="114"/>
    </row>
    <row r="641" spans="1:2" x14ac:dyDescent="0.3">
      <c r="A641" s="114"/>
      <c r="B641" s="114"/>
    </row>
    <row r="642" spans="1:2" x14ac:dyDescent="0.3">
      <c r="A642" s="114"/>
      <c r="B642" s="114"/>
    </row>
    <row r="643" spans="1:2" x14ac:dyDescent="0.3">
      <c r="A643" s="114"/>
      <c r="B643" s="114"/>
    </row>
    <row r="644" spans="1:2" x14ac:dyDescent="0.3">
      <c r="A644" s="114"/>
      <c r="B644" s="114"/>
    </row>
    <row r="645" spans="1:2" x14ac:dyDescent="0.3">
      <c r="A645" s="114"/>
      <c r="B645" s="114"/>
    </row>
    <row r="646" spans="1:2" x14ac:dyDescent="0.3">
      <c r="A646" s="114"/>
      <c r="B646" s="114"/>
    </row>
    <row r="647" spans="1:2" x14ac:dyDescent="0.3">
      <c r="A647" s="114"/>
      <c r="B647" s="114"/>
    </row>
    <row r="648" spans="1:2" x14ac:dyDescent="0.3">
      <c r="A648" s="114"/>
      <c r="B648" s="114"/>
    </row>
    <row r="649" spans="1:2" x14ac:dyDescent="0.3">
      <c r="A649" s="114"/>
      <c r="B649" s="114"/>
    </row>
    <row r="650" spans="1:2" x14ac:dyDescent="0.3">
      <c r="A650" s="114"/>
      <c r="B650" s="114"/>
    </row>
    <row r="651" spans="1:2" x14ac:dyDescent="0.3">
      <c r="A651" s="114"/>
      <c r="B651" s="114"/>
    </row>
    <row r="652" spans="1:2" x14ac:dyDescent="0.3">
      <c r="A652" s="114"/>
      <c r="B652" s="114"/>
    </row>
    <row r="653" spans="1:2" x14ac:dyDescent="0.3">
      <c r="A653" s="114"/>
      <c r="B653" s="114"/>
    </row>
    <row r="654" spans="1:2" x14ac:dyDescent="0.3">
      <c r="A654" s="114"/>
      <c r="B654" s="114"/>
    </row>
    <row r="655" spans="1:2" x14ac:dyDescent="0.3">
      <c r="A655" s="114"/>
      <c r="B655" s="114"/>
    </row>
    <row r="656" spans="1:2" x14ac:dyDescent="0.3">
      <c r="A656" s="114"/>
      <c r="B656" s="114"/>
    </row>
    <row r="657" spans="1:2" x14ac:dyDescent="0.3">
      <c r="A657" s="114"/>
      <c r="B657" s="114"/>
    </row>
    <row r="658" spans="1:2" x14ac:dyDescent="0.3">
      <c r="A658" s="114"/>
      <c r="B658" s="114"/>
    </row>
    <row r="659" spans="1:2" x14ac:dyDescent="0.3">
      <c r="A659" s="114"/>
      <c r="B659" s="114"/>
    </row>
    <row r="660" spans="1:2" x14ac:dyDescent="0.3">
      <c r="A660" s="114"/>
      <c r="B660" s="114"/>
    </row>
    <row r="661" spans="1:2" x14ac:dyDescent="0.3">
      <c r="A661" s="114"/>
      <c r="B661" s="114"/>
    </row>
    <row r="662" spans="1:2" x14ac:dyDescent="0.3">
      <c r="A662" s="114"/>
      <c r="B662" s="114"/>
    </row>
    <row r="663" spans="1:2" x14ac:dyDescent="0.3">
      <c r="A663" s="114"/>
      <c r="B663" s="114"/>
    </row>
    <row r="664" spans="1:2" x14ac:dyDescent="0.3">
      <c r="A664" s="114"/>
      <c r="B664" s="114"/>
    </row>
    <row r="665" spans="1:2" x14ac:dyDescent="0.3">
      <c r="A665" s="114"/>
      <c r="B665" s="114"/>
    </row>
    <row r="666" spans="1:2" x14ac:dyDescent="0.3">
      <c r="A666" s="114"/>
      <c r="B666" s="114"/>
    </row>
    <row r="667" spans="1:2" x14ac:dyDescent="0.3">
      <c r="A667" s="114"/>
      <c r="B667" s="114"/>
    </row>
    <row r="668" spans="1:2" x14ac:dyDescent="0.3">
      <c r="A668" s="114"/>
      <c r="B668" s="114"/>
    </row>
    <row r="669" spans="1:2" x14ac:dyDescent="0.3">
      <c r="A669" s="114"/>
      <c r="B669" s="114"/>
    </row>
    <row r="670" spans="1:2" x14ac:dyDescent="0.3">
      <c r="A670" s="114"/>
      <c r="B670" s="114"/>
    </row>
    <row r="671" spans="1:2" x14ac:dyDescent="0.3">
      <c r="A671" s="114"/>
      <c r="B671" s="114"/>
    </row>
    <row r="672" spans="1:2" x14ac:dyDescent="0.3">
      <c r="A672" s="114"/>
      <c r="B672" s="114"/>
    </row>
    <row r="673" spans="1:2" x14ac:dyDescent="0.3">
      <c r="A673" s="114"/>
      <c r="B673" s="114"/>
    </row>
    <row r="674" spans="1:2" x14ac:dyDescent="0.3">
      <c r="A674" s="114"/>
      <c r="B674" s="114"/>
    </row>
    <row r="675" spans="1:2" x14ac:dyDescent="0.3">
      <c r="A675" s="114"/>
      <c r="B675" s="114"/>
    </row>
    <row r="676" spans="1:2" x14ac:dyDescent="0.3">
      <c r="A676" s="114"/>
      <c r="B676" s="114"/>
    </row>
    <row r="677" spans="1:2" x14ac:dyDescent="0.3">
      <c r="A677" s="114"/>
      <c r="B677" s="114"/>
    </row>
    <row r="678" spans="1:2" x14ac:dyDescent="0.3">
      <c r="A678" s="114"/>
      <c r="B678" s="114"/>
    </row>
    <row r="679" spans="1:2" x14ac:dyDescent="0.3">
      <c r="A679" s="114"/>
      <c r="B679" s="114"/>
    </row>
    <row r="680" spans="1:2" x14ac:dyDescent="0.3">
      <c r="A680" s="114"/>
      <c r="B680" s="114"/>
    </row>
    <row r="681" spans="1:2" x14ac:dyDescent="0.3">
      <c r="A681" s="114"/>
      <c r="B681" s="114"/>
    </row>
    <row r="682" spans="1:2" x14ac:dyDescent="0.3">
      <c r="A682" s="114"/>
      <c r="B682" s="114"/>
    </row>
    <row r="683" spans="1:2" x14ac:dyDescent="0.3">
      <c r="A683" s="114"/>
      <c r="B683" s="114"/>
    </row>
    <row r="684" spans="1:2" x14ac:dyDescent="0.3">
      <c r="A684" s="114"/>
      <c r="B684" s="114"/>
    </row>
    <row r="685" spans="1:2" x14ac:dyDescent="0.3">
      <c r="A685" s="114"/>
      <c r="B685" s="114"/>
    </row>
    <row r="686" spans="1:2" x14ac:dyDescent="0.3">
      <c r="A686" s="114"/>
      <c r="B686" s="114"/>
    </row>
    <row r="687" spans="1:2" x14ac:dyDescent="0.3">
      <c r="A687" s="114"/>
      <c r="B687" s="114"/>
    </row>
    <row r="688" spans="1:2" x14ac:dyDescent="0.3">
      <c r="A688" s="114"/>
      <c r="B688" s="114"/>
    </row>
    <row r="689" spans="1:2" x14ac:dyDescent="0.3">
      <c r="A689" s="114"/>
      <c r="B689" s="114"/>
    </row>
    <row r="690" spans="1:2" x14ac:dyDescent="0.3">
      <c r="A690" s="114"/>
      <c r="B690" s="114"/>
    </row>
    <row r="691" spans="1:2" x14ac:dyDescent="0.3">
      <c r="A691" s="114"/>
      <c r="B691" s="114"/>
    </row>
    <row r="692" spans="1:2" x14ac:dyDescent="0.3">
      <c r="A692" s="114"/>
      <c r="B692" s="114"/>
    </row>
    <row r="693" spans="1:2" x14ac:dyDescent="0.3">
      <c r="A693" s="114"/>
      <c r="B693" s="114"/>
    </row>
    <row r="694" spans="1:2" x14ac:dyDescent="0.3">
      <c r="A694" s="114"/>
      <c r="B694" s="114"/>
    </row>
    <row r="695" spans="1:2" x14ac:dyDescent="0.3">
      <c r="A695" s="114"/>
      <c r="B695" s="114"/>
    </row>
    <row r="696" spans="1:2" x14ac:dyDescent="0.3">
      <c r="A696" s="114"/>
      <c r="B696" s="114"/>
    </row>
    <row r="697" spans="1:2" x14ac:dyDescent="0.3">
      <c r="A697" s="114"/>
      <c r="B697" s="114"/>
    </row>
    <row r="698" spans="1:2" x14ac:dyDescent="0.3">
      <c r="A698" s="114"/>
      <c r="B698" s="114"/>
    </row>
    <row r="699" spans="1:2" x14ac:dyDescent="0.3">
      <c r="A699" s="114"/>
      <c r="B699" s="114"/>
    </row>
    <row r="700" spans="1:2" x14ac:dyDescent="0.3">
      <c r="A700" s="114"/>
      <c r="B700" s="114"/>
    </row>
    <row r="701" spans="1:2" x14ac:dyDescent="0.3">
      <c r="A701" s="114"/>
      <c r="B701" s="114"/>
    </row>
    <row r="702" spans="1:2" x14ac:dyDescent="0.3">
      <c r="A702" s="114"/>
      <c r="B702" s="114"/>
    </row>
    <row r="703" spans="1:2" x14ac:dyDescent="0.3">
      <c r="A703" s="114"/>
      <c r="B703" s="114"/>
    </row>
    <row r="704" spans="1:2" x14ac:dyDescent="0.3">
      <c r="A704" s="114"/>
      <c r="B704" s="114"/>
    </row>
    <row r="705" spans="1:2" x14ac:dyDescent="0.3">
      <c r="A705" s="114"/>
      <c r="B705" s="114"/>
    </row>
    <row r="706" spans="1:2" x14ac:dyDescent="0.3">
      <c r="A706" s="114"/>
      <c r="B706" s="114"/>
    </row>
    <row r="707" spans="1:2" x14ac:dyDescent="0.3">
      <c r="A707" s="114"/>
      <c r="B707" s="114"/>
    </row>
    <row r="708" spans="1:2" x14ac:dyDescent="0.3">
      <c r="A708" s="114"/>
      <c r="B708" s="114"/>
    </row>
    <row r="709" spans="1:2" x14ac:dyDescent="0.3">
      <c r="A709" s="114"/>
      <c r="B709" s="114"/>
    </row>
    <row r="710" spans="1:2" x14ac:dyDescent="0.3">
      <c r="A710" s="114"/>
      <c r="B710" s="114"/>
    </row>
    <row r="711" spans="1:2" x14ac:dyDescent="0.3">
      <c r="A711" s="114"/>
      <c r="B711" s="114"/>
    </row>
    <row r="712" spans="1:2" x14ac:dyDescent="0.3">
      <c r="A712" s="114"/>
      <c r="B712" s="114"/>
    </row>
    <row r="713" spans="1:2" x14ac:dyDescent="0.3">
      <c r="A713" s="114"/>
      <c r="B713" s="114"/>
    </row>
    <row r="714" spans="1:2" x14ac:dyDescent="0.3">
      <c r="A714" s="114"/>
      <c r="B714" s="114"/>
    </row>
    <row r="715" spans="1:2" x14ac:dyDescent="0.3">
      <c r="A715" s="114"/>
      <c r="B715" s="114"/>
    </row>
    <row r="716" spans="1:2" x14ac:dyDescent="0.3">
      <c r="A716" s="114"/>
      <c r="B716" s="114"/>
    </row>
    <row r="717" spans="1:2" x14ac:dyDescent="0.3">
      <c r="A717" s="114"/>
      <c r="B717" s="114"/>
    </row>
    <row r="718" spans="1:2" x14ac:dyDescent="0.3">
      <c r="A718" s="114"/>
      <c r="B718" s="114"/>
    </row>
    <row r="719" spans="1:2" x14ac:dyDescent="0.3">
      <c r="A719" s="114"/>
      <c r="B719" s="114"/>
    </row>
    <row r="720" spans="1:2" x14ac:dyDescent="0.3">
      <c r="A720" s="114"/>
      <c r="B720" s="114"/>
    </row>
    <row r="721" spans="1:2" x14ac:dyDescent="0.3">
      <c r="A721" s="114"/>
      <c r="B721" s="114"/>
    </row>
    <row r="722" spans="1:2" x14ac:dyDescent="0.3">
      <c r="A722" s="114"/>
      <c r="B722" s="114"/>
    </row>
    <row r="723" spans="1:2" x14ac:dyDescent="0.3">
      <c r="A723" s="114"/>
      <c r="B723" s="114"/>
    </row>
    <row r="724" spans="1:2" x14ac:dyDescent="0.3">
      <c r="A724" s="114"/>
      <c r="B724" s="114"/>
    </row>
    <row r="725" spans="1:2" x14ac:dyDescent="0.3">
      <c r="A725" s="114"/>
      <c r="B725" s="114"/>
    </row>
    <row r="726" spans="1:2" x14ac:dyDescent="0.3">
      <c r="A726" s="114"/>
      <c r="B726" s="114"/>
    </row>
    <row r="727" spans="1:2" x14ac:dyDescent="0.3">
      <c r="A727" s="114"/>
      <c r="B727" s="114"/>
    </row>
    <row r="728" spans="1:2" x14ac:dyDescent="0.3">
      <c r="A728" s="114"/>
      <c r="B728" s="114"/>
    </row>
    <row r="729" spans="1:2" x14ac:dyDescent="0.3">
      <c r="A729" s="114"/>
      <c r="B729" s="114"/>
    </row>
    <row r="730" spans="1:2" x14ac:dyDescent="0.3">
      <c r="A730" s="114"/>
      <c r="B730" s="114"/>
    </row>
    <row r="731" spans="1:2" x14ac:dyDescent="0.3">
      <c r="A731" s="114"/>
      <c r="B731" s="114"/>
    </row>
    <row r="732" spans="1:2" x14ac:dyDescent="0.3">
      <c r="A732" s="114"/>
      <c r="B732" s="114"/>
    </row>
    <row r="733" spans="1:2" x14ac:dyDescent="0.3">
      <c r="A733" s="114"/>
      <c r="B733" s="114"/>
    </row>
    <row r="734" spans="1:2" x14ac:dyDescent="0.3">
      <c r="A734" s="114"/>
      <c r="B734" s="114"/>
    </row>
    <row r="735" spans="1:2" x14ac:dyDescent="0.3">
      <c r="A735" s="114"/>
      <c r="B735" s="114"/>
    </row>
    <row r="736" spans="1:2" x14ac:dyDescent="0.3">
      <c r="A736" s="114"/>
      <c r="B736" s="114"/>
    </row>
    <row r="737" spans="1:2" x14ac:dyDescent="0.3">
      <c r="A737" s="114"/>
      <c r="B737" s="114"/>
    </row>
    <row r="738" spans="1:2" x14ac:dyDescent="0.3">
      <c r="A738" s="114"/>
      <c r="B738" s="114"/>
    </row>
    <row r="739" spans="1:2" x14ac:dyDescent="0.3">
      <c r="A739" s="114"/>
      <c r="B739" s="114"/>
    </row>
    <row r="740" spans="1:2" x14ac:dyDescent="0.3">
      <c r="A740" s="114"/>
      <c r="B740" s="114"/>
    </row>
    <row r="741" spans="1:2" x14ac:dyDescent="0.3">
      <c r="A741" s="114"/>
      <c r="B741" s="114"/>
    </row>
    <row r="742" spans="1:2" x14ac:dyDescent="0.3">
      <c r="A742" s="114"/>
      <c r="B742" s="114"/>
    </row>
    <row r="743" spans="1:2" x14ac:dyDescent="0.3">
      <c r="A743" s="114"/>
      <c r="B743" s="114"/>
    </row>
    <row r="744" spans="1:2" x14ac:dyDescent="0.3">
      <c r="A744" s="114"/>
      <c r="B744" s="114"/>
    </row>
    <row r="745" spans="1:2" x14ac:dyDescent="0.3">
      <c r="A745" s="114"/>
      <c r="B745" s="114"/>
    </row>
    <row r="746" spans="1:2" x14ac:dyDescent="0.3">
      <c r="A746" s="114"/>
      <c r="B746" s="114"/>
    </row>
    <row r="747" spans="1:2" x14ac:dyDescent="0.3">
      <c r="A747" s="114"/>
      <c r="B747" s="114"/>
    </row>
    <row r="748" spans="1:2" x14ac:dyDescent="0.3">
      <c r="A748" s="114"/>
      <c r="B748" s="114"/>
    </row>
    <row r="749" spans="1:2" x14ac:dyDescent="0.3">
      <c r="A749" s="114"/>
      <c r="B749" s="114"/>
    </row>
    <row r="750" spans="1:2" x14ac:dyDescent="0.3">
      <c r="A750" s="114"/>
      <c r="B750" s="114"/>
    </row>
    <row r="751" spans="1:2" x14ac:dyDescent="0.3">
      <c r="A751" s="114"/>
      <c r="B751" s="114"/>
    </row>
    <row r="752" spans="1:2" x14ac:dyDescent="0.3">
      <c r="A752" s="114"/>
      <c r="B752" s="114"/>
    </row>
    <row r="753" spans="1:2" x14ac:dyDescent="0.3">
      <c r="A753" s="114"/>
      <c r="B753" s="114"/>
    </row>
    <row r="754" spans="1:2" x14ac:dyDescent="0.3">
      <c r="A754" s="114"/>
      <c r="B754" s="114"/>
    </row>
    <row r="755" spans="1:2" x14ac:dyDescent="0.3">
      <c r="A755" s="114"/>
      <c r="B755" s="114"/>
    </row>
    <row r="756" spans="1:2" x14ac:dyDescent="0.3">
      <c r="A756" s="114"/>
      <c r="B756" s="114"/>
    </row>
    <row r="757" spans="1:2" x14ac:dyDescent="0.3">
      <c r="A757" s="114"/>
      <c r="B757" s="114"/>
    </row>
    <row r="758" spans="1:2" x14ac:dyDescent="0.3">
      <c r="A758" s="114"/>
      <c r="B758" s="114"/>
    </row>
    <row r="759" spans="1:2" x14ac:dyDescent="0.3">
      <c r="A759" s="114"/>
      <c r="B759" s="114"/>
    </row>
    <row r="760" spans="1:2" x14ac:dyDescent="0.3">
      <c r="A760" s="114"/>
      <c r="B760" s="114"/>
    </row>
    <row r="761" spans="1:2" x14ac:dyDescent="0.3">
      <c r="A761" s="114"/>
      <c r="B761" s="114"/>
    </row>
    <row r="762" spans="1:2" x14ac:dyDescent="0.3">
      <c r="A762" s="114"/>
      <c r="B762" s="114"/>
    </row>
    <row r="763" spans="1:2" x14ac:dyDescent="0.3">
      <c r="A763" s="114"/>
      <c r="B763" s="114"/>
    </row>
    <row r="764" spans="1:2" x14ac:dyDescent="0.3">
      <c r="A764" s="114"/>
      <c r="B764" s="114"/>
    </row>
    <row r="765" spans="1:2" x14ac:dyDescent="0.3">
      <c r="A765" s="114"/>
      <c r="B765" s="114"/>
    </row>
    <row r="766" spans="1:2" x14ac:dyDescent="0.3">
      <c r="A766" s="114"/>
      <c r="B766" s="114"/>
    </row>
    <row r="767" spans="1:2" x14ac:dyDescent="0.3">
      <c r="A767" s="114"/>
      <c r="B767" s="114"/>
    </row>
    <row r="768" spans="1:2" x14ac:dyDescent="0.3">
      <c r="A768" s="114"/>
      <c r="B768" s="114"/>
    </row>
    <row r="769" spans="1:2" x14ac:dyDescent="0.3">
      <c r="A769" s="114"/>
      <c r="B769" s="114"/>
    </row>
    <row r="770" spans="1:2" x14ac:dyDescent="0.3">
      <c r="A770" s="114"/>
      <c r="B770" s="114"/>
    </row>
    <row r="771" spans="1:2" x14ac:dyDescent="0.3">
      <c r="A771" s="114"/>
      <c r="B771" s="114"/>
    </row>
    <row r="772" spans="1:2" x14ac:dyDescent="0.3">
      <c r="A772" s="114"/>
      <c r="B772" s="114"/>
    </row>
    <row r="773" spans="1:2" x14ac:dyDescent="0.3">
      <c r="A773" s="114"/>
      <c r="B773" s="114"/>
    </row>
    <row r="774" spans="1:2" x14ac:dyDescent="0.3">
      <c r="A774" s="114"/>
      <c r="B774" s="114"/>
    </row>
    <row r="775" spans="1:2" x14ac:dyDescent="0.3">
      <c r="A775" s="114"/>
      <c r="B775" s="114"/>
    </row>
    <row r="776" spans="1:2" x14ac:dyDescent="0.3">
      <c r="A776" s="114"/>
      <c r="B776" s="114"/>
    </row>
    <row r="777" spans="1:2" x14ac:dyDescent="0.3">
      <c r="A777" s="114"/>
      <c r="B777" s="114"/>
    </row>
    <row r="778" spans="1:2" x14ac:dyDescent="0.3">
      <c r="A778" s="114"/>
      <c r="B778" s="114"/>
    </row>
    <row r="779" spans="1:2" x14ac:dyDescent="0.3">
      <c r="A779" s="114"/>
      <c r="B779" s="114"/>
    </row>
    <row r="780" spans="1:2" x14ac:dyDescent="0.3">
      <c r="A780" s="114"/>
      <c r="B780" s="114"/>
    </row>
    <row r="781" spans="1:2" x14ac:dyDescent="0.3">
      <c r="A781" s="114"/>
      <c r="B781" s="114"/>
    </row>
    <row r="782" spans="1:2" x14ac:dyDescent="0.3">
      <c r="A782" s="114"/>
      <c r="B782" s="114"/>
    </row>
    <row r="783" spans="1:2" x14ac:dyDescent="0.3">
      <c r="A783" s="114"/>
      <c r="B783" s="114"/>
    </row>
    <row r="784" spans="1:2" x14ac:dyDescent="0.3">
      <c r="A784" s="114"/>
      <c r="B784" s="114"/>
    </row>
    <row r="785" spans="1:2" x14ac:dyDescent="0.3">
      <c r="A785" s="114"/>
      <c r="B785" s="114"/>
    </row>
    <row r="786" spans="1:2" x14ac:dyDescent="0.3">
      <c r="A786" s="114"/>
      <c r="B786" s="114"/>
    </row>
    <row r="787" spans="1:2" x14ac:dyDescent="0.3">
      <c r="A787" s="114"/>
      <c r="B787" s="114"/>
    </row>
    <row r="788" spans="1:2" x14ac:dyDescent="0.3">
      <c r="A788" s="114"/>
      <c r="B788" s="114"/>
    </row>
    <row r="789" spans="1:2" x14ac:dyDescent="0.3">
      <c r="A789" s="114"/>
      <c r="B789" s="114"/>
    </row>
    <row r="790" spans="1:2" x14ac:dyDescent="0.3">
      <c r="A790" s="114"/>
      <c r="B790" s="114"/>
    </row>
    <row r="791" spans="1:2" x14ac:dyDescent="0.3">
      <c r="A791" s="114"/>
      <c r="B791" s="114"/>
    </row>
    <row r="792" spans="1:2" x14ac:dyDescent="0.3">
      <c r="A792" s="114"/>
      <c r="B792" s="114"/>
    </row>
    <row r="793" spans="1:2" x14ac:dyDescent="0.3">
      <c r="A793" s="114"/>
      <c r="B793" s="114"/>
    </row>
    <row r="794" spans="1:2" x14ac:dyDescent="0.3">
      <c r="A794" s="114"/>
      <c r="B794" s="114"/>
    </row>
    <row r="795" spans="1:2" x14ac:dyDescent="0.3">
      <c r="A795" s="114"/>
      <c r="B795" s="114"/>
    </row>
    <row r="796" spans="1:2" x14ac:dyDescent="0.3">
      <c r="A796" s="114"/>
      <c r="B796" s="114"/>
    </row>
    <row r="797" spans="1:2" x14ac:dyDescent="0.3">
      <c r="A797" s="114"/>
      <c r="B797" s="114"/>
    </row>
    <row r="798" spans="1:2" x14ac:dyDescent="0.3">
      <c r="A798" s="114"/>
      <c r="B798" s="114"/>
    </row>
    <row r="799" spans="1:2" x14ac:dyDescent="0.3">
      <c r="A799" s="114"/>
      <c r="B799" s="114"/>
    </row>
    <row r="800" spans="1:2" x14ac:dyDescent="0.3">
      <c r="A800" s="114"/>
      <c r="B800" s="114"/>
    </row>
    <row r="801" spans="1:2" x14ac:dyDescent="0.3">
      <c r="A801" s="114"/>
      <c r="B801" s="114"/>
    </row>
    <row r="802" spans="1:2" x14ac:dyDescent="0.3">
      <c r="A802" s="114"/>
      <c r="B802" s="114"/>
    </row>
    <row r="803" spans="1:2" x14ac:dyDescent="0.3">
      <c r="A803" s="114"/>
      <c r="B803" s="114"/>
    </row>
    <row r="804" spans="1:2" x14ac:dyDescent="0.3">
      <c r="A804" s="114"/>
      <c r="B804" s="114"/>
    </row>
    <row r="805" spans="1:2" x14ac:dyDescent="0.3">
      <c r="A805" s="114"/>
      <c r="B805" s="114"/>
    </row>
    <row r="806" spans="1:2" x14ac:dyDescent="0.3">
      <c r="A806" s="114"/>
      <c r="B806" s="114"/>
    </row>
    <row r="807" spans="1:2" x14ac:dyDescent="0.3">
      <c r="A807" s="114"/>
      <c r="B807" s="114"/>
    </row>
    <row r="808" spans="1:2" x14ac:dyDescent="0.3">
      <c r="A808" s="114"/>
      <c r="B808" s="114"/>
    </row>
    <row r="809" spans="1:2" x14ac:dyDescent="0.3">
      <c r="A809" s="114"/>
      <c r="B809" s="114"/>
    </row>
    <row r="810" spans="1:2" x14ac:dyDescent="0.3">
      <c r="A810" s="114"/>
      <c r="B810" s="114"/>
    </row>
    <row r="811" spans="1:2" x14ac:dyDescent="0.3">
      <c r="A811" s="114"/>
      <c r="B811" s="114"/>
    </row>
    <row r="812" spans="1:2" x14ac:dyDescent="0.3">
      <c r="A812" s="114"/>
      <c r="B812" s="114"/>
    </row>
    <row r="813" spans="1:2" x14ac:dyDescent="0.3">
      <c r="A813" s="114"/>
      <c r="B813" s="114"/>
    </row>
    <row r="814" spans="1:2" x14ac:dyDescent="0.3">
      <c r="A814" s="114"/>
      <c r="B814" s="114"/>
    </row>
    <row r="815" spans="1:2" x14ac:dyDescent="0.3">
      <c r="A815" s="114"/>
      <c r="B815" s="114"/>
    </row>
    <row r="816" spans="1:2" x14ac:dyDescent="0.3">
      <c r="A816" s="114"/>
      <c r="B816" s="114"/>
    </row>
    <row r="817" spans="1:2" x14ac:dyDescent="0.3">
      <c r="A817" s="114"/>
      <c r="B817" s="114"/>
    </row>
    <row r="818" spans="1:2" x14ac:dyDescent="0.3">
      <c r="A818" s="114"/>
      <c r="B818" s="114"/>
    </row>
    <row r="819" spans="1:2" x14ac:dyDescent="0.3">
      <c r="A819" s="114"/>
      <c r="B819" s="114"/>
    </row>
    <row r="820" spans="1:2" x14ac:dyDescent="0.3">
      <c r="A820" s="114"/>
      <c r="B820" s="114"/>
    </row>
    <row r="821" spans="1:2" x14ac:dyDescent="0.3">
      <c r="A821" s="114"/>
      <c r="B821" s="114"/>
    </row>
    <row r="822" spans="1:2" x14ac:dyDescent="0.3">
      <c r="A822" s="114"/>
      <c r="B822" s="114"/>
    </row>
    <row r="823" spans="1:2" x14ac:dyDescent="0.3">
      <c r="A823" s="114"/>
      <c r="B823" s="114"/>
    </row>
    <row r="824" spans="1:2" x14ac:dyDescent="0.3">
      <c r="A824" s="114"/>
      <c r="B824" s="114"/>
    </row>
    <row r="825" spans="1:2" x14ac:dyDescent="0.3">
      <c r="A825" s="114"/>
      <c r="B825" s="114"/>
    </row>
    <row r="826" spans="1:2" x14ac:dyDescent="0.3">
      <c r="A826" s="114"/>
      <c r="B826" s="114"/>
    </row>
    <row r="827" spans="1:2" x14ac:dyDescent="0.3">
      <c r="A827" s="114"/>
      <c r="B827" s="114"/>
    </row>
    <row r="828" spans="1:2" x14ac:dyDescent="0.3">
      <c r="A828" s="114"/>
      <c r="B828" s="114"/>
    </row>
    <row r="829" spans="1:2" x14ac:dyDescent="0.3">
      <c r="A829" s="114"/>
      <c r="B829" s="114"/>
    </row>
    <row r="830" spans="1:2" x14ac:dyDescent="0.3">
      <c r="A830" s="114"/>
      <c r="B830" s="114"/>
    </row>
    <row r="831" spans="1:2" x14ac:dyDescent="0.3">
      <c r="A831" s="114"/>
      <c r="B831" s="114"/>
    </row>
    <row r="832" spans="1:2" x14ac:dyDescent="0.3">
      <c r="A832" s="114"/>
      <c r="B832" s="114"/>
    </row>
    <row r="833" spans="1:2" x14ac:dyDescent="0.3">
      <c r="A833" s="114"/>
      <c r="B833" s="114"/>
    </row>
    <row r="834" spans="1:2" x14ac:dyDescent="0.3">
      <c r="A834" s="114"/>
      <c r="B834" s="114"/>
    </row>
    <row r="835" spans="1:2" x14ac:dyDescent="0.3">
      <c r="A835" s="114"/>
      <c r="B835" s="114"/>
    </row>
    <row r="836" spans="1:2" x14ac:dyDescent="0.3">
      <c r="A836" s="114"/>
      <c r="B836" s="114"/>
    </row>
    <row r="837" spans="1:2" x14ac:dyDescent="0.3">
      <c r="A837" s="114"/>
      <c r="B837" s="114"/>
    </row>
    <row r="838" spans="1:2" x14ac:dyDescent="0.3">
      <c r="A838" s="114"/>
      <c r="B838" s="114"/>
    </row>
    <row r="839" spans="1:2" x14ac:dyDescent="0.3">
      <c r="A839" s="114"/>
      <c r="B839" s="114"/>
    </row>
    <row r="840" spans="1:2" x14ac:dyDescent="0.3">
      <c r="A840" s="114"/>
      <c r="B840" s="114"/>
    </row>
    <row r="841" spans="1:2" x14ac:dyDescent="0.3">
      <c r="A841" s="114"/>
      <c r="B841" s="114"/>
    </row>
    <row r="842" spans="1:2" x14ac:dyDescent="0.3">
      <c r="A842" s="114"/>
      <c r="B842" s="114"/>
    </row>
    <row r="843" spans="1:2" x14ac:dyDescent="0.3">
      <c r="A843" s="114"/>
      <c r="B843" s="114"/>
    </row>
    <row r="844" spans="1:2" x14ac:dyDescent="0.3">
      <c r="A844" s="114"/>
      <c r="B844" s="114"/>
    </row>
    <row r="845" spans="1:2" x14ac:dyDescent="0.3">
      <c r="A845" s="114"/>
      <c r="B845" s="114"/>
    </row>
    <row r="846" spans="1:2" x14ac:dyDescent="0.3">
      <c r="A846" s="114"/>
      <c r="B846" s="114"/>
    </row>
    <row r="847" spans="1:2" x14ac:dyDescent="0.3">
      <c r="A847" s="114"/>
      <c r="B847" s="114"/>
    </row>
    <row r="848" spans="1:2" x14ac:dyDescent="0.3">
      <c r="A848" s="114"/>
      <c r="B848" s="114"/>
    </row>
    <row r="849" spans="1:2" x14ac:dyDescent="0.3">
      <c r="A849" s="114"/>
      <c r="B849" s="114"/>
    </row>
    <row r="850" spans="1:2" x14ac:dyDescent="0.3">
      <c r="A850" s="114"/>
      <c r="B850" s="114"/>
    </row>
    <row r="851" spans="1:2" x14ac:dyDescent="0.3">
      <c r="A851" s="114"/>
      <c r="B851" s="114"/>
    </row>
    <row r="852" spans="1:2" x14ac:dyDescent="0.3">
      <c r="A852" s="114"/>
      <c r="B852" s="114"/>
    </row>
    <row r="853" spans="1:2" x14ac:dyDescent="0.3">
      <c r="A853" s="114"/>
      <c r="B853" s="114"/>
    </row>
    <row r="854" spans="1:2" x14ac:dyDescent="0.3">
      <c r="A854" s="114"/>
      <c r="B854" s="114"/>
    </row>
    <row r="855" spans="1:2" x14ac:dyDescent="0.3">
      <c r="A855" s="114"/>
      <c r="B855" s="114"/>
    </row>
    <row r="856" spans="1:2" x14ac:dyDescent="0.3">
      <c r="A856" s="114"/>
      <c r="B856" s="114"/>
    </row>
    <row r="857" spans="1:2" x14ac:dyDescent="0.3">
      <c r="A857" s="114"/>
      <c r="B857" s="114"/>
    </row>
    <row r="858" spans="1:2" x14ac:dyDescent="0.3">
      <c r="A858" s="114"/>
      <c r="B858" s="114"/>
    </row>
    <row r="859" spans="1:2" x14ac:dyDescent="0.3">
      <c r="A859" s="114"/>
      <c r="B859" s="114"/>
    </row>
    <row r="860" spans="1:2" x14ac:dyDescent="0.3">
      <c r="A860" s="114"/>
      <c r="B860" s="114"/>
    </row>
    <row r="861" spans="1:2" x14ac:dyDescent="0.3">
      <c r="A861" s="114"/>
      <c r="B861" s="114"/>
    </row>
    <row r="862" spans="1:2" x14ac:dyDescent="0.3">
      <c r="A862" s="114"/>
      <c r="B862" s="114"/>
    </row>
    <row r="863" spans="1:2" x14ac:dyDescent="0.3">
      <c r="A863" s="114"/>
      <c r="B863" s="114"/>
    </row>
    <row r="864" spans="1:2" x14ac:dyDescent="0.3">
      <c r="A864" s="114"/>
      <c r="B864" s="114"/>
    </row>
    <row r="865" spans="1:2" x14ac:dyDescent="0.3">
      <c r="A865" s="114"/>
      <c r="B865" s="114"/>
    </row>
    <row r="866" spans="1:2" x14ac:dyDescent="0.3">
      <c r="A866" s="114"/>
      <c r="B866" s="114"/>
    </row>
    <row r="867" spans="1:2" x14ac:dyDescent="0.3">
      <c r="A867" s="114"/>
      <c r="B867" s="114"/>
    </row>
    <row r="868" spans="1:2" x14ac:dyDescent="0.3">
      <c r="A868" s="114"/>
      <c r="B868" s="114"/>
    </row>
    <row r="869" spans="1:2" x14ac:dyDescent="0.3">
      <c r="A869" s="114"/>
      <c r="B869" s="114"/>
    </row>
    <row r="870" spans="1:2" x14ac:dyDescent="0.3">
      <c r="A870" s="114"/>
      <c r="B870" s="114"/>
    </row>
    <row r="871" spans="1:2" x14ac:dyDescent="0.3">
      <c r="A871" s="114"/>
      <c r="B871" s="114"/>
    </row>
    <row r="872" spans="1:2" x14ac:dyDescent="0.3">
      <c r="A872" s="114"/>
      <c r="B872" s="114"/>
    </row>
    <row r="873" spans="1:2" x14ac:dyDescent="0.3">
      <c r="A873" s="114"/>
      <c r="B873" s="114"/>
    </row>
    <row r="874" spans="1:2" x14ac:dyDescent="0.3">
      <c r="A874" s="114"/>
      <c r="B874" s="114"/>
    </row>
    <row r="875" spans="1:2" x14ac:dyDescent="0.3">
      <c r="A875" s="114"/>
      <c r="B875" s="114"/>
    </row>
    <row r="876" spans="1:2" x14ac:dyDescent="0.3">
      <c r="A876" s="114"/>
      <c r="B876" s="114"/>
    </row>
    <row r="877" spans="1:2" x14ac:dyDescent="0.3">
      <c r="A877" s="114"/>
      <c r="B877" s="114"/>
    </row>
    <row r="878" spans="1:2" x14ac:dyDescent="0.3">
      <c r="A878" s="114"/>
      <c r="B878" s="114"/>
    </row>
    <row r="879" spans="1:2" x14ac:dyDescent="0.3">
      <c r="A879" s="114"/>
      <c r="B879" s="114"/>
    </row>
    <row r="880" spans="1:2" x14ac:dyDescent="0.3">
      <c r="A880" s="114"/>
      <c r="B880" s="114"/>
    </row>
    <row r="881" spans="1:2" x14ac:dyDescent="0.3">
      <c r="A881" s="114"/>
      <c r="B881" s="114"/>
    </row>
    <row r="882" spans="1:2" x14ac:dyDescent="0.3">
      <c r="A882" s="114"/>
      <c r="B882" s="114"/>
    </row>
    <row r="883" spans="1:2" x14ac:dyDescent="0.3">
      <c r="A883" s="114"/>
      <c r="B883" s="114"/>
    </row>
    <row r="884" spans="1:2" x14ac:dyDescent="0.3">
      <c r="A884" s="114"/>
      <c r="B884" s="114"/>
    </row>
    <row r="885" spans="1:2" x14ac:dyDescent="0.3">
      <c r="A885" s="114"/>
      <c r="B885" s="114"/>
    </row>
    <row r="886" spans="1:2" x14ac:dyDescent="0.3">
      <c r="A886" s="114"/>
      <c r="B886" s="114"/>
    </row>
    <row r="887" spans="1:2" x14ac:dyDescent="0.3">
      <c r="A887" s="114"/>
      <c r="B887" s="114"/>
    </row>
    <row r="888" spans="1:2" x14ac:dyDescent="0.3">
      <c r="A888" s="114"/>
      <c r="B888" s="114"/>
    </row>
    <row r="889" spans="1:2" x14ac:dyDescent="0.3">
      <c r="A889" s="114"/>
      <c r="B889" s="114"/>
    </row>
    <row r="890" spans="1:2" x14ac:dyDescent="0.3">
      <c r="A890" s="114"/>
      <c r="B890" s="114"/>
    </row>
    <row r="891" spans="1:2" x14ac:dyDescent="0.3">
      <c r="A891" s="114"/>
      <c r="B891" s="114"/>
    </row>
    <row r="892" spans="1:2" x14ac:dyDescent="0.3">
      <c r="A892" s="114"/>
      <c r="B892" s="114"/>
    </row>
    <row r="893" spans="1:2" x14ac:dyDescent="0.3">
      <c r="A893" s="114"/>
      <c r="B893" s="114"/>
    </row>
    <row r="894" spans="1:2" x14ac:dyDescent="0.3">
      <c r="A894" s="114"/>
      <c r="B894" s="114"/>
    </row>
    <row r="895" spans="1:2" x14ac:dyDescent="0.3">
      <c r="A895" s="114"/>
      <c r="B895" s="114"/>
    </row>
    <row r="896" spans="1:2" x14ac:dyDescent="0.3">
      <c r="A896" s="114"/>
      <c r="B896" s="114"/>
    </row>
    <row r="897" spans="1:2" x14ac:dyDescent="0.3">
      <c r="A897" s="114"/>
      <c r="B897" s="114"/>
    </row>
    <row r="898" spans="1:2" x14ac:dyDescent="0.3">
      <c r="A898" s="114"/>
      <c r="B898" s="114"/>
    </row>
    <row r="899" spans="1:2" x14ac:dyDescent="0.3">
      <c r="A899" s="114"/>
      <c r="B899" s="114"/>
    </row>
    <row r="900" spans="1:2" x14ac:dyDescent="0.3">
      <c r="A900" s="114"/>
      <c r="B900" s="114"/>
    </row>
    <row r="901" spans="1:2" x14ac:dyDescent="0.3">
      <c r="A901" s="114"/>
      <c r="B901" s="114"/>
    </row>
    <row r="902" spans="1:2" x14ac:dyDescent="0.3">
      <c r="A902" s="114"/>
      <c r="B902" s="114"/>
    </row>
    <row r="903" spans="1:2" x14ac:dyDescent="0.3">
      <c r="A903" s="114"/>
      <c r="B903" s="114"/>
    </row>
    <row r="904" spans="1:2" x14ac:dyDescent="0.3">
      <c r="A904" s="114"/>
      <c r="B904" s="114"/>
    </row>
    <row r="905" spans="1:2" x14ac:dyDescent="0.3">
      <c r="A905" s="114"/>
      <c r="B905" s="114"/>
    </row>
    <row r="906" spans="1:2" x14ac:dyDescent="0.3">
      <c r="A906" s="114"/>
      <c r="B906" s="114"/>
    </row>
    <row r="907" spans="1:2" x14ac:dyDescent="0.3">
      <c r="A907" s="114"/>
      <c r="B907" s="114"/>
    </row>
    <row r="908" spans="1:2" x14ac:dyDescent="0.3">
      <c r="A908" s="114"/>
      <c r="B908" s="114"/>
    </row>
    <row r="909" spans="1:2" x14ac:dyDescent="0.3">
      <c r="A909" s="114"/>
      <c r="B909" s="114"/>
    </row>
    <row r="910" spans="1:2" x14ac:dyDescent="0.3">
      <c r="A910" s="114"/>
      <c r="B910" s="114"/>
    </row>
    <row r="911" spans="1:2" x14ac:dyDescent="0.3">
      <c r="A911" s="114"/>
      <c r="B911" s="114"/>
    </row>
    <row r="912" spans="1:2" x14ac:dyDescent="0.3">
      <c r="A912" s="114"/>
      <c r="B912" s="114"/>
    </row>
    <row r="913" spans="1:2" x14ac:dyDescent="0.3">
      <c r="A913" s="114"/>
      <c r="B913" s="114"/>
    </row>
    <row r="914" spans="1:2" x14ac:dyDescent="0.3">
      <c r="A914" s="114"/>
      <c r="B914" s="114"/>
    </row>
    <row r="915" spans="1:2" x14ac:dyDescent="0.3">
      <c r="A915" s="114"/>
      <c r="B915" s="114"/>
    </row>
    <row r="916" spans="1:2" x14ac:dyDescent="0.3">
      <c r="A916" s="114"/>
      <c r="B916" s="114"/>
    </row>
    <row r="917" spans="1:2" x14ac:dyDescent="0.3">
      <c r="A917" s="114"/>
      <c r="B917" s="114"/>
    </row>
    <row r="918" spans="1:2" x14ac:dyDescent="0.3">
      <c r="A918" s="114"/>
      <c r="B918" s="114"/>
    </row>
    <row r="919" spans="1:2" x14ac:dyDescent="0.3">
      <c r="A919" s="114"/>
      <c r="B919" s="114"/>
    </row>
    <row r="920" spans="1:2" x14ac:dyDescent="0.3">
      <c r="A920" s="114"/>
      <c r="B920" s="114"/>
    </row>
    <row r="921" spans="1:2" x14ac:dyDescent="0.3">
      <c r="A921" s="114"/>
      <c r="B921" s="114"/>
    </row>
    <row r="922" spans="1:2" x14ac:dyDescent="0.3">
      <c r="A922" s="114"/>
      <c r="B922" s="114"/>
    </row>
    <row r="923" spans="1:2" x14ac:dyDescent="0.3">
      <c r="A923" s="114"/>
      <c r="B923" s="114"/>
    </row>
    <row r="924" spans="1:2" x14ac:dyDescent="0.3">
      <c r="A924" s="114"/>
      <c r="B924" s="114"/>
    </row>
    <row r="925" spans="1:2" x14ac:dyDescent="0.3">
      <c r="A925" s="114"/>
      <c r="B925" s="114"/>
    </row>
    <row r="926" spans="1:2" x14ac:dyDescent="0.3">
      <c r="A926" s="114"/>
      <c r="B926" s="114"/>
    </row>
    <row r="927" spans="1:2" x14ac:dyDescent="0.3">
      <c r="A927" s="114"/>
      <c r="B927" s="114"/>
    </row>
    <row r="928" spans="1:2" x14ac:dyDescent="0.3">
      <c r="A928" s="114"/>
      <c r="B928" s="114"/>
    </row>
    <row r="929" spans="1:2" x14ac:dyDescent="0.3">
      <c r="A929" s="114"/>
      <c r="B929" s="114"/>
    </row>
    <row r="930" spans="1:2" x14ac:dyDescent="0.3">
      <c r="A930" s="114"/>
      <c r="B930" s="114"/>
    </row>
    <row r="931" spans="1:2" x14ac:dyDescent="0.3">
      <c r="A931" s="114"/>
      <c r="B931" s="114"/>
    </row>
    <row r="932" spans="1:2" x14ac:dyDescent="0.3">
      <c r="A932" s="114"/>
      <c r="B932" s="114"/>
    </row>
    <row r="933" spans="1:2" x14ac:dyDescent="0.3">
      <c r="A933" s="114"/>
      <c r="B933" s="114"/>
    </row>
    <row r="934" spans="1:2" x14ac:dyDescent="0.3">
      <c r="A934" s="114"/>
      <c r="B934" s="114"/>
    </row>
    <row r="935" spans="1:2" x14ac:dyDescent="0.3">
      <c r="A935" s="114"/>
      <c r="B935" s="114"/>
    </row>
    <row r="936" spans="1:2" x14ac:dyDescent="0.3">
      <c r="A936" s="114"/>
      <c r="B936" s="114"/>
    </row>
    <row r="937" spans="1:2" x14ac:dyDescent="0.3">
      <c r="A937" s="114"/>
      <c r="B937" s="114"/>
    </row>
    <row r="938" spans="1:2" x14ac:dyDescent="0.3">
      <c r="A938" s="114"/>
      <c r="B938" s="114"/>
    </row>
    <row r="939" spans="1:2" x14ac:dyDescent="0.3">
      <c r="A939" s="114"/>
      <c r="B939" s="114"/>
    </row>
    <row r="940" spans="1:2" x14ac:dyDescent="0.3">
      <c r="A940" s="114"/>
      <c r="B940" s="114"/>
    </row>
    <row r="941" spans="1:2" x14ac:dyDescent="0.3">
      <c r="A941" s="114"/>
      <c r="B941" s="114"/>
    </row>
    <row r="942" spans="1:2" x14ac:dyDescent="0.3">
      <c r="A942" s="114"/>
      <c r="B942" s="114"/>
    </row>
    <row r="943" spans="1:2" x14ac:dyDescent="0.3">
      <c r="A943" s="114"/>
      <c r="B943" s="114"/>
    </row>
    <row r="944" spans="1:2" x14ac:dyDescent="0.3">
      <c r="A944" s="114"/>
      <c r="B944" s="114"/>
    </row>
    <row r="945" spans="1:2" x14ac:dyDescent="0.3">
      <c r="A945" s="114"/>
      <c r="B945" s="114"/>
    </row>
    <row r="946" spans="1:2" x14ac:dyDescent="0.3">
      <c r="A946" s="114"/>
      <c r="B946" s="114"/>
    </row>
    <row r="947" spans="1:2" x14ac:dyDescent="0.3">
      <c r="A947" s="114"/>
      <c r="B947" s="114"/>
    </row>
    <row r="948" spans="1:2" x14ac:dyDescent="0.3">
      <c r="A948" s="114"/>
      <c r="B948" s="114"/>
    </row>
    <row r="949" spans="1:2" x14ac:dyDescent="0.3">
      <c r="A949" s="114"/>
      <c r="B949" s="114"/>
    </row>
    <row r="950" spans="1:2" x14ac:dyDescent="0.3">
      <c r="A950" s="114"/>
      <c r="B950" s="114"/>
    </row>
    <row r="951" spans="1:2" x14ac:dyDescent="0.3">
      <c r="A951" s="114"/>
      <c r="B951" s="114"/>
    </row>
    <row r="952" spans="1:2" x14ac:dyDescent="0.3">
      <c r="A952" s="114"/>
      <c r="B952" s="114"/>
    </row>
    <row r="953" spans="1:2" x14ac:dyDescent="0.3">
      <c r="A953" s="114"/>
      <c r="B953" s="114"/>
    </row>
    <row r="954" spans="1:2" x14ac:dyDescent="0.3">
      <c r="A954" s="114"/>
      <c r="B954" s="114"/>
    </row>
    <row r="955" spans="1:2" x14ac:dyDescent="0.3">
      <c r="A955" s="114"/>
      <c r="B955" s="114"/>
    </row>
    <row r="956" spans="1:2" x14ac:dyDescent="0.3">
      <c r="A956" s="114"/>
      <c r="B956" s="114"/>
    </row>
    <row r="957" spans="1:2" x14ac:dyDescent="0.3">
      <c r="A957" s="114"/>
      <c r="B957" s="114"/>
    </row>
    <row r="958" spans="1:2" x14ac:dyDescent="0.3">
      <c r="A958" s="114"/>
      <c r="B958" s="114"/>
    </row>
    <row r="959" spans="1:2" x14ac:dyDescent="0.3">
      <c r="A959" s="114"/>
      <c r="B959" s="114"/>
    </row>
    <row r="960" spans="1:2" x14ac:dyDescent="0.3">
      <c r="A960" s="114"/>
      <c r="B960" s="114"/>
    </row>
    <row r="961" spans="1:2" x14ac:dyDescent="0.3">
      <c r="A961" s="114"/>
      <c r="B961" s="114"/>
    </row>
    <row r="962" spans="1:2" x14ac:dyDescent="0.3">
      <c r="A962" s="114"/>
      <c r="B962" s="114"/>
    </row>
    <row r="963" spans="1:2" x14ac:dyDescent="0.3">
      <c r="A963" s="114"/>
      <c r="B963" s="114"/>
    </row>
    <row r="964" spans="1:2" x14ac:dyDescent="0.3">
      <c r="A964" s="114"/>
      <c r="B964" s="114"/>
    </row>
    <row r="965" spans="1:2" x14ac:dyDescent="0.3">
      <c r="A965" s="114"/>
      <c r="B965" s="114"/>
    </row>
    <row r="966" spans="1:2" x14ac:dyDescent="0.3">
      <c r="A966" s="114"/>
      <c r="B966" s="114"/>
    </row>
    <row r="967" spans="1:2" x14ac:dyDescent="0.3">
      <c r="A967" s="114"/>
      <c r="B967" s="114"/>
    </row>
    <row r="968" spans="1:2" x14ac:dyDescent="0.3">
      <c r="A968" s="114"/>
      <c r="B968" s="114"/>
    </row>
    <row r="969" spans="1:2" x14ac:dyDescent="0.3">
      <c r="A969" s="114"/>
      <c r="B969" s="114"/>
    </row>
    <row r="970" spans="1:2" x14ac:dyDescent="0.3">
      <c r="A970" s="114"/>
      <c r="B970" s="114"/>
    </row>
    <row r="971" spans="1:2" x14ac:dyDescent="0.3">
      <c r="A971" s="114"/>
      <c r="B971" s="114"/>
    </row>
    <row r="972" spans="1:2" x14ac:dyDescent="0.3">
      <c r="A972" s="114"/>
      <c r="B972" s="114"/>
    </row>
    <row r="973" spans="1:2" x14ac:dyDescent="0.3">
      <c r="A973" s="114"/>
      <c r="B973" s="114"/>
    </row>
    <row r="974" spans="1:2" x14ac:dyDescent="0.3">
      <c r="A974" s="114"/>
      <c r="B974" s="114"/>
    </row>
    <row r="975" spans="1:2" x14ac:dyDescent="0.3">
      <c r="A975" s="114"/>
      <c r="B975" s="114"/>
    </row>
    <row r="976" spans="1:2" x14ac:dyDescent="0.3">
      <c r="A976" s="114"/>
      <c r="B976" s="114"/>
    </row>
    <row r="977" spans="1:2" x14ac:dyDescent="0.3">
      <c r="A977" s="114"/>
      <c r="B977" s="114"/>
    </row>
    <row r="978" spans="1:2" x14ac:dyDescent="0.3">
      <c r="A978" s="114"/>
      <c r="B978" s="114"/>
    </row>
    <row r="979" spans="1:2" x14ac:dyDescent="0.3">
      <c r="A979" s="114"/>
      <c r="B979" s="114"/>
    </row>
    <row r="980" spans="1:2" x14ac:dyDescent="0.3">
      <c r="A980" s="114"/>
      <c r="B980" s="114"/>
    </row>
    <row r="981" spans="1:2" x14ac:dyDescent="0.3">
      <c r="A981" s="114"/>
      <c r="B981" s="114"/>
    </row>
    <row r="982" spans="1:2" x14ac:dyDescent="0.3">
      <c r="A982" s="114"/>
      <c r="B982" s="114"/>
    </row>
    <row r="983" spans="1:2" x14ac:dyDescent="0.3">
      <c r="A983" s="114"/>
      <c r="B983" s="114"/>
    </row>
    <row r="984" spans="1:2" x14ac:dyDescent="0.3">
      <c r="A984" s="114"/>
      <c r="B984" s="114"/>
    </row>
    <row r="985" spans="1:2" x14ac:dyDescent="0.3">
      <c r="A985" s="114"/>
      <c r="B985" s="114"/>
    </row>
    <row r="986" spans="1:2" x14ac:dyDescent="0.3">
      <c r="A986" s="114"/>
      <c r="B986" s="114"/>
    </row>
    <row r="987" spans="1:2" x14ac:dyDescent="0.3">
      <c r="A987" s="114"/>
      <c r="B987" s="114"/>
    </row>
    <row r="988" spans="1:2" x14ac:dyDescent="0.3">
      <c r="A988" s="114"/>
      <c r="B988" s="114"/>
    </row>
    <row r="989" spans="1:2" x14ac:dyDescent="0.3">
      <c r="A989" s="114"/>
      <c r="B989" s="114"/>
    </row>
    <row r="990" spans="1:2" x14ac:dyDescent="0.3">
      <c r="A990" s="114"/>
      <c r="B990" s="114"/>
    </row>
    <row r="991" spans="1:2" x14ac:dyDescent="0.3">
      <c r="A991" s="114"/>
      <c r="B991" s="114"/>
    </row>
    <row r="992" spans="1:2" x14ac:dyDescent="0.3">
      <c r="A992" s="114"/>
      <c r="B992" s="114"/>
    </row>
    <row r="993" spans="1:2" x14ac:dyDescent="0.3">
      <c r="A993" s="114"/>
      <c r="B993" s="114"/>
    </row>
    <row r="994" spans="1:2" x14ac:dyDescent="0.3">
      <c r="A994" s="114"/>
      <c r="B994" s="114"/>
    </row>
    <row r="995" spans="1:2" x14ac:dyDescent="0.3">
      <c r="A995" s="114"/>
      <c r="B995" s="114"/>
    </row>
    <row r="996" spans="1:2" x14ac:dyDescent="0.3">
      <c r="A996" s="114"/>
      <c r="B996" s="114"/>
    </row>
    <row r="997" spans="1:2" x14ac:dyDescent="0.3">
      <c r="A997" s="114"/>
      <c r="B997" s="114"/>
    </row>
    <row r="998" spans="1:2" x14ac:dyDescent="0.3">
      <c r="A998" s="114"/>
      <c r="B998" s="114"/>
    </row>
    <row r="999" spans="1:2" x14ac:dyDescent="0.3">
      <c r="A999" s="114"/>
      <c r="B999" s="114"/>
    </row>
    <row r="1000" spans="1:2" x14ac:dyDescent="0.3">
      <c r="A1000" s="114"/>
      <c r="B1000" s="114"/>
    </row>
    <row r="1001" spans="1:2" x14ac:dyDescent="0.3">
      <c r="A1001" s="114"/>
      <c r="B1001" s="114"/>
    </row>
    <row r="1002" spans="1:2" x14ac:dyDescent="0.3">
      <c r="A1002" s="114"/>
      <c r="B1002" s="114"/>
    </row>
    <row r="1003" spans="1:2" x14ac:dyDescent="0.3">
      <c r="A1003" s="114"/>
      <c r="B1003" s="114"/>
    </row>
    <row r="1004" spans="1:2" x14ac:dyDescent="0.3">
      <c r="A1004" s="114"/>
      <c r="B1004" s="114"/>
    </row>
    <row r="1005" spans="1:2" x14ac:dyDescent="0.3">
      <c r="A1005" s="114"/>
      <c r="B1005" s="114"/>
    </row>
    <row r="1006" spans="1:2" x14ac:dyDescent="0.3">
      <c r="A1006" s="114"/>
      <c r="B1006" s="114"/>
    </row>
    <row r="1007" spans="1:2" x14ac:dyDescent="0.3">
      <c r="A1007" s="114"/>
      <c r="B1007" s="114"/>
    </row>
    <row r="1008" spans="1:2" x14ac:dyDescent="0.3">
      <c r="A1008" s="114"/>
      <c r="B1008" s="114"/>
    </row>
    <row r="1009" spans="1:2" x14ac:dyDescent="0.3">
      <c r="A1009" s="114"/>
      <c r="B1009" s="114"/>
    </row>
    <row r="1010" spans="1:2" x14ac:dyDescent="0.3">
      <c r="A1010" s="114"/>
      <c r="B1010" s="114"/>
    </row>
    <row r="1011" spans="1:2" x14ac:dyDescent="0.3">
      <c r="A1011" s="114"/>
      <c r="B1011" s="114"/>
    </row>
    <row r="1012" spans="1:2" x14ac:dyDescent="0.3">
      <c r="A1012" s="114"/>
      <c r="B1012" s="114"/>
    </row>
    <row r="1013" spans="1:2" x14ac:dyDescent="0.3">
      <c r="A1013" s="114"/>
      <c r="B1013" s="114"/>
    </row>
    <row r="1014" spans="1:2" x14ac:dyDescent="0.3">
      <c r="A1014" s="114"/>
      <c r="B1014" s="114"/>
    </row>
    <row r="1015" spans="1:2" x14ac:dyDescent="0.3">
      <c r="A1015" s="114"/>
      <c r="B1015" s="114"/>
    </row>
    <row r="1016" spans="1:2" x14ac:dyDescent="0.3">
      <c r="A1016" s="114"/>
      <c r="B1016" s="114"/>
    </row>
    <row r="1017" spans="1:2" x14ac:dyDescent="0.3">
      <c r="A1017" s="114"/>
      <c r="B1017" s="114"/>
    </row>
    <row r="1018" spans="1:2" x14ac:dyDescent="0.3">
      <c r="A1018" s="114"/>
      <c r="B1018" s="114"/>
    </row>
    <row r="1019" spans="1:2" x14ac:dyDescent="0.3">
      <c r="A1019" s="114"/>
      <c r="B1019" s="114"/>
    </row>
    <row r="1020" spans="1:2" x14ac:dyDescent="0.3">
      <c r="A1020" s="114"/>
      <c r="B1020" s="114"/>
    </row>
    <row r="1021" spans="1:2" x14ac:dyDescent="0.3">
      <c r="A1021" s="114"/>
      <c r="B1021" s="114"/>
    </row>
    <row r="1022" spans="1:2" x14ac:dyDescent="0.3">
      <c r="A1022" s="114"/>
      <c r="B1022" s="114"/>
    </row>
    <row r="1023" spans="1:2" x14ac:dyDescent="0.3">
      <c r="A1023" s="114"/>
      <c r="B1023" s="114"/>
    </row>
    <row r="1024" spans="1:2" x14ac:dyDescent="0.3">
      <c r="A1024" s="114"/>
      <c r="B1024" s="114"/>
    </row>
    <row r="1025" spans="1:2" x14ac:dyDescent="0.3">
      <c r="A1025" s="114"/>
      <c r="B1025" s="114"/>
    </row>
    <row r="1026" spans="1:2" x14ac:dyDescent="0.3">
      <c r="A1026" s="114"/>
      <c r="B1026" s="114"/>
    </row>
    <row r="1027" spans="1:2" x14ac:dyDescent="0.3">
      <c r="A1027" s="114"/>
      <c r="B1027" s="114"/>
    </row>
    <row r="1028" spans="1:2" x14ac:dyDescent="0.3">
      <c r="A1028" s="114"/>
      <c r="B1028" s="114"/>
    </row>
    <row r="1029" spans="1:2" x14ac:dyDescent="0.3">
      <c r="A1029" s="114"/>
      <c r="B1029" s="114"/>
    </row>
    <row r="1030" spans="1:2" x14ac:dyDescent="0.3">
      <c r="A1030" s="114"/>
      <c r="B1030" s="114"/>
    </row>
    <row r="1031" spans="1:2" x14ac:dyDescent="0.3">
      <c r="A1031" s="114"/>
      <c r="B1031" s="114"/>
    </row>
    <row r="1032" spans="1:2" x14ac:dyDescent="0.3">
      <c r="A1032" s="114"/>
      <c r="B1032" s="114"/>
    </row>
    <row r="1033" spans="1:2" x14ac:dyDescent="0.3">
      <c r="A1033" s="114"/>
      <c r="B1033" s="114"/>
    </row>
    <row r="1034" spans="1:2" x14ac:dyDescent="0.3">
      <c r="A1034" s="114"/>
      <c r="B1034" s="114"/>
    </row>
    <row r="1035" spans="1:2" x14ac:dyDescent="0.3">
      <c r="A1035" s="114"/>
      <c r="B1035" s="114"/>
    </row>
    <row r="1036" spans="1:2" x14ac:dyDescent="0.3">
      <c r="A1036" s="114"/>
      <c r="B1036" s="114"/>
    </row>
    <row r="1037" spans="1:2" x14ac:dyDescent="0.3">
      <c r="A1037" s="114"/>
      <c r="B1037" s="114"/>
    </row>
    <row r="1038" spans="1:2" x14ac:dyDescent="0.3">
      <c r="A1038" s="114"/>
      <c r="B1038" s="114"/>
    </row>
    <row r="1039" spans="1:2" x14ac:dyDescent="0.3">
      <c r="A1039" s="114"/>
      <c r="B1039" s="114"/>
    </row>
    <row r="1040" spans="1:2" x14ac:dyDescent="0.3">
      <c r="A1040" s="114"/>
      <c r="B1040" s="114"/>
    </row>
    <row r="1041" spans="1:2" x14ac:dyDescent="0.3">
      <c r="A1041" s="114"/>
      <c r="B1041" s="114"/>
    </row>
    <row r="1042" spans="1:2" x14ac:dyDescent="0.3">
      <c r="A1042" s="114"/>
      <c r="B1042" s="114"/>
    </row>
    <row r="1043" spans="1:2" x14ac:dyDescent="0.3">
      <c r="A1043" s="114"/>
      <c r="B1043" s="114"/>
    </row>
    <row r="1044" spans="1:2" x14ac:dyDescent="0.3">
      <c r="A1044" s="114"/>
      <c r="B1044" s="114"/>
    </row>
    <row r="1045" spans="1:2" x14ac:dyDescent="0.3">
      <c r="A1045" s="114"/>
      <c r="B1045" s="114"/>
    </row>
    <row r="1046" spans="1:2" x14ac:dyDescent="0.3">
      <c r="A1046" s="114"/>
      <c r="B1046" s="114"/>
    </row>
    <row r="1047" spans="1:2" x14ac:dyDescent="0.3">
      <c r="A1047" s="114"/>
      <c r="B1047" s="114"/>
    </row>
    <row r="1048" spans="1:2" x14ac:dyDescent="0.3">
      <c r="A1048" s="114"/>
      <c r="B1048" s="114"/>
    </row>
    <row r="1049" spans="1:2" x14ac:dyDescent="0.3">
      <c r="A1049" s="114"/>
      <c r="B1049" s="114"/>
    </row>
    <row r="1050" spans="1:2" x14ac:dyDescent="0.3">
      <c r="A1050" s="114"/>
      <c r="B1050" s="114"/>
    </row>
    <row r="1051" spans="1:2" x14ac:dyDescent="0.3">
      <c r="A1051" s="114"/>
      <c r="B1051" s="114"/>
    </row>
    <row r="1052" spans="1:2" x14ac:dyDescent="0.3">
      <c r="A1052" s="114"/>
      <c r="B1052" s="114"/>
    </row>
    <row r="1053" spans="1:2" x14ac:dyDescent="0.3">
      <c r="A1053" s="114"/>
      <c r="B1053" s="114"/>
    </row>
    <row r="1054" spans="1:2" x14ac:dyDescent="0.3">
      <c r="A1054" s="114"/>
      <c r="B1054" s="114"/>
    </row>
    <row r="1055" spans="1:2" x14ac:dyDescent="0.3">
      <c r="A1055" s="114"/>
      <c r="B1055" s="114"/>
    </row>
    <row r="1056" spans="1:2" x14ac:dyDescent="0.3">
      <c r="A1056" s="114"/>
      <c r="B1056" s="114"/>
    </row>
    <row r="1057" spans="1:2" x14ac:dyDescent="0.3">
      <c r="A1057" s="114"/>
      <c r="B1057" s="114"/>
    </row>
    <row r="1058" spans="1:2" x14ac:dyDescent="0.3">
      <c r="A1058" s="114"/>
      <c r="B1058" s="114"/>
    </row>
    <row r="1059" spans="1:2" x14ac:dyDescent="0.3">
      <c r="A1059" s="114"/>
      <c r="B1059" s="114"/>
    </row>
    <row r="1060" spans="1:2" x14ac:dyDescent="0.3">
      <c r="A1060" s="114"/>
      <c r="B1060" s="114"/>
    </row>
    <row r="1061" spans="1:2" x14ac:dyDescent="0.3">
      <c r="A1061" s="114"/>
      <c r="B1061" s="114"/>
    </row>
    <row r="1062" spans="1:2" x14ac:dyDescent="0.3">
      <c r="A1062" s="114"/>
      <c r="B1062" s="114"/>
    </row>
    <row r="1063" spans="1:2" x14ac:dyDescent="0.3">
      <c r="A1063" s="114"/>
      <c r="B1063" s="114"/>
    </row>
    <row r="1064" spans="1:2" x14ac:dyDescent="0.3">
      <c r="A1064" s="114"/>
      <c r="B1064" s="114"/>
    </row>
    <row r="1065" spans="1:2" x14ac:dyDescent="0.3">
      <c r="A1065" s="114"/>
      <c r="B1065" s="114"/>
    </row>
    <row r="1066" spans="1:2" x14ac:dyDescent="0.3">
      <c r="A1066" s="114"/>
      <c r="B1066" s="114"/>
    </row>
    <row r="1067" spans="1:2" x14ac:dyDescent="0.3">
      <c r="A1067" s="114"/>
      <c r="B1067" s="114"/>
    </row>
    <row r="1068" spans="1:2" x14ac:dyDescent="0.3">
      <c r="A1068" s="114"/>
      <c r="B1068" s="114"/>
    </row>
    <row r="1069" spans="1:2" x14ac:dyDescent="0.3">
      <c r="A1069" s="114"/>
      <c r="B1069" s="114"/>
    </row>
    <row r="1070" spans="1:2" x14ac:dyDescent="0.3">
      <c r="A1070" s="114"/>
      <c r="B1070" s="114"/>
    </row>
    <row r="1071" spans="1:2" x14ac:dyDescent="0.3">
      <c r="A1071" s="114"/>
      <c r="B1071" s="114"/>
    </row>
    <row r="1072" spans="1:2" x14ac:dyDescent="0.3">
      <c r="A1072" s="114"/>
      <c r="B1072" s="114"/>
    </row>
    <row r="1073" spans="1:2" x14ac:dyDescent="0.3">
      <c r="A1073" s="114"/>
      <c r="B1073" s="114"/>
    </row>
    <row r="1074" spans="1:2" x14ac:dyDescent="0.3">
      <c r="A1074" s="114"/>
      <c r="B1074" s="114"/>
    </row>
    <row r="1075" spans="1:2" x14ac:dyDescent="0.3">
      <c r="A1075" s="114"/>
      <c r="B1075" s="114"/>
    </row>
    <row r="1076" spans="1:2" x14ac:dyDescent="0.3">
      <c r="A1076" s="114"/>
      <c r="B1076" s="114"/>
    </row>
    <row r="1077" spans="1:2" x14ac:dyDescent="0.3">
      <c r="A1077" s="114"/>
      <c r="B1077" s="114"/>
    </row>
    <row r="1078" spans="1:2" x14ac:dyDescent="0.3">
      <c r="A1078" s="114"/>
      <c r="B1078" s="114"/>
    </row>
    <row r="1079" spans="1:2" x14ac:dyDescent="0.3">
      <c r="A1079" s="114"/>
      <c r="B1079" s="114"/>
    </row>
    <row r="1080" spans="1:2" x14ac:dyDescent="0.3">
      <c r="A1080" s="114"/>
      <c r="B1080" s="114"/>
    </row>
    <row r="1081" spans="1:2" x14ac:dyDescent="0.3">
      <c r="A1081" s="114"/>
      <c r="B1081" s="114"/>
    </row>
    <row r="1082" spans="1:2" x14ac:dyDescent="0.3">
      <c r="A1082" s="114"/>
      <c r="B1082" s="114"/>
    </row>
    <row r="1083" spans="1:2" x14ac:dyDescent="0.3">
      <c r="A1083" s="114"/>
      <c r="B1083" s="114"/>
    </row>
    <row r="1084" spans="1:2" x14ac:dyDescent="0.3">
      <c r="A1084" s="114"/>
      <c r="B1084" s="114"/>
    </row>
    <row r="1085" spans="1:2" x14ac:dyDescent="0.3">
      <c r="A1085" s="114"/>
      <c r="B1085" s="114"/>
    </row>
    <row r="1086" spans="1:2" x14ac:dyDescent="0.3">
      <c r="A1086" s="114"/>
      <c r="B1086" s="114"/>
    </row>
    <row r="1087" spans="1:2" x14ac:dyDescent="0.3">
      <c r="A1087" s="114"/>
      <c r="B1087" s="114"/>
    </row>
    <row r="1088" spans="1:2" x14ac:dyDescent="0.3">
      <c r="A1088" s="114"/>
      <c r="B1088" s="114"/>
    </row>
    <row r="1089" spans="1:2" x14ac:dyDescent="0.3">
      <c r="A1089" s="114"/>
      <c r="B1089" s="114"/>
    </row>
    <row r="1090" spans="1:2" x14ac:dyDescent="0.3">
      <c r="A1090" s="114"/>
      <c r="B1090" s="114"/>
    </row>
    <row r="1091" spans="1:2" x14ac:dyDescent="0.3">
      <c r="A1091" s="114"/>
      <c r="B1091" s="114"/>
    </row>
    <row r="1092" spans="1:2" x14ac:dyDescent="0.3">
      <c r="A1092" s="114"/>
      <c r="B1092" s="114"/>
    </row>
    <row r="1093" spans="1:2" x14ac:dyDescent="0.3">
      <c r="A1093" s="114"/>
      <c r="B1093" s="114"/>
    </row>
    <row r="1094" spans="1:2" x14ac:dyDescent="0.3">
      <c r="A1094" s="114"/>
      <c r="B1094" s="114"/>
    </row>
    <row r="1095" spans="1:2" x14ac:dyDescent="0.3">
      <c r="A1095" s="114"/>
      <c r="B1095" s="114"/>
    </row>
    <row r="1096" spans="1:2" x14ac:dyDescent="0.3">
      <c r="A1096" s="114"/>
      <c r="B1096" s="114"/>
    </row>
    <row r="1097" spans="1:2" x14ac:dyDescent="0.3">
      <c r="A1097" s="114"/>
      <c r="B1097" s="114"/>
    </row>
    <row r="1098" spans="1:2" x14ac:dyDescent="0.3">
      <c r="A1098" s="114"/>
      <c r="B1098" s="114"/>
    </row>
    <row r="1099" spans="1:2" x14ac:dyDescent="0.3">
      <c r="A1099" s="114"/>
      <c r="B1099" s="114"/>
    </row>
    <row r="1100" spans="1:2" x14ac:dyDescent="0.3">
      <c r="A1100" s="114"/>
      <c r="B1100" s="114"/>
    </row>
    <row r="1101" spans="1:2" x14ac:dyDescent="0.3">
      <c r="A1101" s="114"/>
      <c r="B1101" s="114"/>
    </row>
    <row r="1102" spans="1:2" x14ac:dyDescent="0.3">
      <c r="A1102" s="114"/>
      <c r="B1102" s="114"/>
    </row>
    <row r="1103" spans="1:2" x14ac:dyDescent="0.3">
      <c r="A1103" s="114"/>
      <c r="B1103" s="114"/>
    </row>
    <row r="1104" spans="1:2" x14ac:dyDescent="0.3">
      <c r="A1104" s="114"/>
      <c r="B1104" s="114"/>
    </row>
    <row r="1105" spans="1:2" x14ac:dyDescent="0.3">
      <c r="A1105" s="114"/>
      <c r="B1105" s="114"/>
    </row>
    <row r="1106" spans="1:2" x14ac:dyDescent="0.3">
      <c r="A1106" s="114"/>
      <c r="B1106" s="114"/>
    </row>
    <row r="1107" spans="1:2" x14ac:dyDescent="0.3">
      <c r="A1107" s="114"/>
      <c r="B1107" s="114"/>
    </row>
    <row r="1108" spans="1:2" x14ac:dyDescent="0.3">
      <c r="A1108" s="114"/>
      <c r="B1108" s="114"/>
    </row>
    <row r="1109" spans="1:2" x14ac:dyDescent="0.3">
      <c r="A1109" s="114"/>
      <c r="B1109" s="114"/>
    </row>
    <row r="1110" spans="1:2" x14ac:dyDescent="0.3">
      <c r="A1110" s="114"/>
      <c r="B1110" s="114"/>
    </row>
    <row r="1111" spans="1:2" x14ac:dyDescent="0.3">
      <c r="A1111" s="114"/>
      <c r="B1111" s="114"/>
    </row>
    <row r="1112" spans="1:2" x14ac:dyDescent="0.3">
      <c r="A1112" s="114"/>
      <c r="B1112" s="114"/>
    </row>
    <row r="1113" spans="1:2" x14ac:dyDescent="0.3">
      <c r="A1113" s="114"/>
      <c r="B1113" s="114"/>
    </row>
    <row r="1114" spans="1:2" x14ac:dyDescent="0.3">
      <c r="A1114" s="114"/>
      <c r="B1114" s="114"/>
    </row>
    <row r="1115" spans="1:2" x14ac:dyDescent="0.3">
      <c r="A1115" s="114"/>
      <c r="B1115" s="114"/>
    </row>
    <row r="1116" spans="1:2" x14ac:dyDescent="0.3">
      <c r="A1116" s="114"/>
      <c r="B1116" s="114"/>
    </row>
    <row r="1117" spans="1:2" x14ac:dyDescent="0.3">
      <c r="A1117" s="114"/>
      <c r="B1117" s="114"/>
    </row>
    <row r="1118" spans="1:2" x14ac:dyDescent="0.3">
      <c r="A1118" s="114"/>
      <c r="B1118" s="114"/>
    </row>
    <row r="1119" spans="1:2" x14ac:dyDescent="0.3">
      <c r="A1119" s="114"/>
      <c r="B1119" s="114"/>
    </row>
    <row r="1120" spans="1:2" x14ac:dyDescent="0.3">
      <c r="A1120" s="114"/>
      <c r="B1120" s="114"/>
    </row>
    <row r="1121" spans="1:2" x14ac:dyDescent="0.3">
      <c r="A1121" s="114"/>
      <c r="B1121" s="114"/>
    </row>
    <row r="1122" spans="1:2" x14ac:dyDescent="0.3">
      <c r="A1122" s="114"/>
      <c r="B1122" s="114"/>
    </row>
    <row r="1123" spans="1:2" x14ac:dyDescent="0.3">
      <c r="A1123" s="114"/>
      <c r="B1123" s="114"/>
    </row>
    <row r="1124" spans="1:2" x14ac:dyDescent="0.3">
      <c r="A1124" s="114"/>
      <c r="B1124" s="114"/>
    </row>
    <row r="1125" spans="1:2" x14ac:dyDescent="0.3">
      <c r="A1125" s="114"/>
      <c r="B1125" s="114"/>
    </row>
    <row r="1126" spans="1:2" x14ac:dyDescent="0.3">
      <c r="A1126" s="114"/>
      <c r="B1126" s="114"/>
    </row>
    <row r="1127" spans="1:2" x14ac:dyDescent="0.3">
      <c r="A1127" s="114"/>
      <c r="B1127" s="114"/>
    </row>
    <row r="1128" spans="1:2" x14ac:dyDescent="0.3">
      <c r="A1128" s="114"/>
      <c r="B1128" s="114"/>
    </row>
    <row r="1129" spans="1:2" x14ac:dyDescent="0.3">
      <c r="A1129" s="114"/>
      <c r="B1129" s="114"/>
    </row>
    <row r="1130" spans="1:2" x14ac:dyDescent="0.3">
      <c r="A1130" s="114"/>
      <c r="B1130" s="114"/>
    </row>
    <row r="1131" spans="1:2" x14ac:dyDescent="0.3">
      <c r="A1131" s="114"/>
      <c r="B1131" s="114"/>
    </row>
    <row r="1132" spans="1:2" x14ac:dyDescent="0.3">
      <c r="A1132" s="114"/>
      <c r="B1132" s="114"/>
    </row>
    <row r="1133" spans="1:2" x14ac:dyDescent="0.3">
      <c r="A1133" s="114"/>
      <c r="B1133" s="114"/>
    </row>
    <row r="1134" spans="1:2" x14ac:dyDescent="0.3">
      <c r="A1134" s="114"/>
      <c r="B1134" s="114"/>
    </row>
    <row r="1135" spans="1:2" x14ac:dyDescent="0.3">
      <c r="A1135" s="114"/>
      <c r="B1135" s="114"/>
    </row>
    <row r="1136" spans="1:2" x14ac:dyDescent="0.3">
      <c r="A1136" s="114"/>
      <c r="B1136" s="114"/>
    </row>
    <row r="1137" spans="1:2" x14ac:dyDescent="0.3">
      <c r="A1137" s="114"/>
      <c r="B1137" s="114"/>
    </row>
    <row r="1138" spans="1:2" x14ac:dyDescent="0.3">
      <c r="A1138" s="114"/>
      <c r="B1138" s="114"/>
    </row>
    <row r="1139" spans="1:2" x14ac:dyDescent="0.3">
      <c r="A1139" s="114"/>
      <c r="B1139" s="114"/>
    </row>
    <row r="1140" spans="1:2" x14ac:dyDescent="0.3">
      <c r="A1140" s="114"/>
      <c r="B1140" s="114"/>
    </row>
    <row r="1141" spans="1:2" x14ac:dyDescent="0.3">
      <c r="A1141" s="114"/>
      <c r="B1141" s="114"/>
    </row>
    <row r="1142" spans="1:2" x14ac:dyDescent="0.3">
      <c r="A1142" s="114"/>
      <c r="B1142" s="114"/>
    </row>
    <row r="1143" spans="1:2" x14ac:dyDescent="0.3">
      <c r="A1143" s="114"/>
      <c r="B1143" s="114"/>
    </row>
    <row r="1144" spans="1:2" x14ac:dyDescent="0.3">
      <c r="A1144" s="114"/>
      <c r="B1144" s="114"/>
    </row>
    <row r="1145" spans="1:2" x14ac:dyDescent="0.3">
      <c r="A1145" s="114"/>
      <c r="B1145" s="114"/>
    </row>
    <row r="1146" spans="1:2" x14ac:dyDescent="0.3">
      <c r="A1146" s="114"/>
      <c r="B1146" s="114"/>
    </row>
    <row r="1147" spans="1:2" x14ac:dyDescent="0.3">
      <c r="A1147" s="114"/>
      <c r="B1147" s="114"/>
    </row>
    <row r="1148" spans="1:2" x14ac:dyDescent="0.3">
      <c r="A1148" s="114"/>
      <c r="B1148" s="114"/>
    </row>
    <row r="1149" spans="1:2" x14ac:dyDescent="0.3">
      <c r="A1149" s="114"/>
      <c r="B1149" s="114"/>
    </row>
    <row r="1150" spans="1:2" x14ac:dyDescent="0.3">
      <c r="A1150" s="114"/>
      <c r="B1150" s="114"/>
    </row>
    <row r="1151" spans="1:2" x14ac:dyDescent="0.3">
      <c r="A1151" s="114"/>
      <c r="B1151" s="114"/>
    </row>
    <row r="1152" spans="1:2" x14ac:dyDescent="0.3">
      <c r="A1152" s="114"/>
      <c r="B1152" s="114"/>
    </row>
    <row r="1153" spans="1:2" x14ac:dyDescent="0.3">
      <c r="A1153" s="114"/>
      <c r="B1153" s="114"/>
    </row>
    <row r="1154" spans="1:2" x14ac:dyDescent="0.3">
      <c r="A1154" s="114"/>
      <c r="B1154" s="114"/>
    </row>
    <row r="1155" spans="1:2" x14ac:dyDescent="0.3">
      <c r="A1155" s="114"/>
      <c r="B1155" s="114"/>
    </row>
    <row r="1156" spans="1:2" x14ac:dyDescent="0.3">
      <c r="A1156" s="114"/>
      <c r="B1156" s="114"/>
    </row>
    <row r="1157" spans="1:2" x14ac:dyDescent="0.3">
      <c r="A1157" s="114"/>
      <c r="B1157" s="114"/>
    </row>
    <row r="1158" spans="1:2" x14ac:dyDescent="0.3">
      <c r="A1158" s="114"/>
      <c r="B1158" s="114"/>
    </row>
    <row r="1159" spans="1:2" x14ac:dyDescent="0.3">
      <c r="A1159" s="114"/>
      <c r="B1159" s="114"/>
    </row>
    <row r="1160" spans="1:2" x14ac:dyDescent="0.3">
      <c r="A1160" s="114"/>
      <c r="B1160" s="114"/>
    </row>
    <row r="1161" spans="1:2" x14ac:dyDescent="0.3">
      <c r="A1161" s="114"/>
      <c r="B1161" s="114"/>
    </row>
    <row r="1162" spans="1:2" x14ac:dyDescent="0.3">
      <c r="A1162" s="114"/>
      <c r="B1162" s="114"/>
    </row>
    <row r="1163" spans="1:2" x14ac:dyDescent="0.3">
      <c r="A1163" s="114"/>
      <c r="B1163" s="114"/>
    </row>
    <row r="1164" spans="1:2" x14ac:dyDescent="0.3">
      <c r="A1164" s="114"/>
      <c r="B1164" s="114"/>
    </row>
    <row r="1165" spans="1:2" x14ac:dyDescent="0.3">
      <c r="A1165" s="114"/>
      <c r="B1165" s="114"/>
    </row>
    <row r="1166" spans="1:2" x14ac:dyDescent="0.3">
      <c r="A1166" s="114"/>
      <c r="B1166" s="114"/>
    </row>
    <row r="1167" spans="1:2" x14ac:dyDescent="0.3">
      <c r="A1167" s="114"/>
      <c r="B1167" s="114"/>
    </row>
    <row r="1168" spans="1:2" x14ac:dyDescent="0.3">
      <c r="A1168" s="114"/>
      <c r="B1168" s="114"/>
    </row>
    <row r="1169" spans="1:2" x14ac:dyDescent="0.3">
      <c r="A1169" s="114"/>
      <c r="B1169" s="114"/>
    </row>
    <row r="1170" spans="1:2" x14ac:dyDescent="0.3">
      <c r="A1170" s="114"/>
      <c r="B1170" s="114"/>
    </row>
    <row r="1171" spans="1:2" x14ac:dyDescent="0.3">
      <c r="A1171" s="114"/>
      <c r="B1171" s="114"/>
    </row>
    <row r="1172" spans="1:2" x14ac:dyDescent="0.3">
      <c r="A1172" s="114"/>
      <c r="B1172" s="114"/>
    </row>
    <row r="1173" spans="1:2" x14ac:dyDescent="0.3">
      <c r="A1173" s="114"/>
      <c r="B1173" s="114"/>
    </row>
    <row r="1174" spans="1:2" x14ac:dyDescent="0.3">
      <c r="A1174" s="114"/>
      <c r="B1174" s="114"/>
    </row>
    <row r="1175" spans="1:2" x14ac:dyDescent="0.3">
      <c r="A1175" s="114"/>
      <c r="B1175" s="114"/>
    </row>
    <row r="1176" spans="1:2" x14ac:dyDescent="0.3">
      <c r="A1176" s="114"/>
      <c r="B1176" s="114"/>
    </row>
    <row r="1177" spans="1:2" x14ac:dyDescent="0.3">
      <c r="A1177" s="114"/>
      <c r="B1177" s="114"/>
    </row>
    <row r="1178" spans="1:2" x14ac:dyDescent="0.3">
      <c r="A1178" s="114"/>
      <c r="B1178" s="114"/>
    </row>
    <row r="1179" spans="1:2" x14ac:dyDescent="0.3">
      <c r="A1179" s="114"/>
      <c r="B1179" s="114"/>
    </row>
    <row r="1180" spans="1:2" x14ac:dyDescent="0.3">
      <c r="A1180" s="114"/>
      <c r="B1180" s="114"/>
    </row>
    <row r="1181" spans="1:2" x14ac:dyDescent="0.3">
      <c r="A1181" s="114"/>
      <c r="B1181" s="114"/>
    </row>
    <row r="1182" spans="1:2" x14ac:dyDescent="0.3">
      <c r="A1182" s="114"/>
      <c r="B1182" s="114"/>
    </row>
    <row r="1183" spans="1:2" x14ac:dyDescent="0.3">
      <c r="A1183" s="114"/>
      <c r="B1183" s="114"/>
    </row>
    <row r="1184" spans="1:2" x14ac:dyDescent="0.3">
      <c r="A1184" s="114"/>
      <c r="B1184" s="114"/>
    </row>
    <row r="1185" spans="1:2" x14ac:dyDescent="0.3">
      <c r="A1185" s="114"/>
      <c r="B1185" s="114"/>
    </row>
    <row r="1186" spans="1:2" x14ac:dyDescent="0.3">
      <c r="A1186" s="114"/>
      <c r="B1186" s="114"/>
    </row>
    <row r="1187" spans="1:2" x14ac:dyDescent="0.3">
      <c r="A1187" s="114"/>
      <c r="B1187" s="114"/>
    </row>
    <row r="1188" spans="1:2" x14ac:dyDescent="0.3">
      <c r="A1188" s="114"/>
      <c r="B1188" s="114"/>
    </row>
    <row r="1189" spans="1:2" x14ac:dyDescent="0.3">
      <c r="A1189" s="114"/>
      <c r="B1189" s="114"/>
    </row>
    <row r="1190" spans="1:2" x14ac:dyDescent="0.3">
      <c r="A1190" s="114"/>
      <c r="B1190" s="114"/>
    </row>
    <row r="1191" spans="1:2" x14ac:dyDescent="0.3">
      <c r="A1191" s="114"/>
      <c r="B1191" s="114"/>
    </row>
    <row r="1192" spans="1:2" x14ac:dyDescent="0.3">
      <c r="A1192" s="114"/>
      <c r="B1192" s="114"/>
    </row>
    <row r="1193" spans="1:2" x14ac:dyDescent="0.3">
      <c r="A1193" s="114"/>
      <c r="B1193" s="114"/>
    </row>
    <row r="1194" spans="1:2" x14ac:dyDescent="0.3">
      <c r="A1194" s="114"/>
      <c r="B1194" s="114"/>
    </row>
    <row r="1195" spans="1:2" x14ac:dyDescent="0.3">
      <c r="A1195" s="114"/>
      <c r="B1195" s="114"/>
    </row>
    <row r="1196" spans="1:2" x14ac:dyDescent="0.3">
      <c r="A1196" s="114"/>
      <c r="B1196" s="114"/>
    </row>
    <row r="1197" spans="1:2" x14ac:dyDescent="0.3">
      <c r="A1197" s="114"/>
      <c r="B1197" s="114"/>
    </row>
    <row r="1198" spans="1:2" x14ac:dyDescent="0.3">
      <c r="A1198" s="114"/>
      <c r="B1198" s="114"/>
    </row>
    <row r="1199" spans="1:2" x14ac:dyDescent="0.3">
      <c r="A1199" s="114"/>
      <c r="B1199" s="114"/>
    </row>
    <row r="1200" spans="1:2" x14ac:dyDescent="0.3">
      <c r="A1200" s="114"/>
      <c r="B1200" s="114"/>
    </row>
    <row r="1201" spans="1:2" x14ac:dyDescent="0.3">
      <c r="A1201" s="114"/>
      <c r="B1201" s="114"/>
    </row>
    <row r="1202" spans="1:2" x14ac:dyDescent="0.3">
      <c r="A1202" s="114"/>
      <c r="B1202" s="114"/>
    </row>
    <row r="1203" spans="1:2" x14ac:dyDescent="0.3">
      <c r="A1203" s="114"/>
      <c r="B1203" s="114"/>
    </row>
    <row r="1204" spans="1:2" x14ac:dyDescent="0.3">
      <c r="A1204" s="114"/>
      <c r="B1204" s="114"/>
    </row>
    <row r="1205" spans="1:2" x14ac:dyDescent="0.3">
      <c r="A1205" s="114"/>
      <c r="B1205" s="114"/>
    </row>
    <row r="1206" spans="1:2" x14ac:dyDescent="0.3">
      <c r="A1206" s="114"/>
      <c r="B1206" s="114"/>
    </row>
    <row r="1207" spans="1:2" x14ac:dyDescent="0.3">
      <c r="A1207" s="114"/>
      <c r="B1207" s="114"/>
    </row>
    <row r="1208" spans="1:2" x14ac:dyDescent="0.3">
      <c r="A1208" s="114"/>
      <c r="B1208" s="114"/>
    </row>
    <row r="1209" spans="1:2" x14ac:dyDescent="0.3">
      <c r="A1209" s="114"/>
      <c r="B1209" s="114"/>
    </row>
    <row r="1210" spans="1:2" x14ac:dyDescent="0.3">
      <c r="A1210" s="114"/>
      <c r="B1210" s="114"/>
    </row>
    <row r="1211" spans="1:2" x14ac:dyDescent="0.3">
      <c r="A1211" s="114"/>
      <c r="B1211" s="114"/>
    </row>
    <row r="1212" spans="1:2" x14ac:dyDescent="0.3">
      <c r="A1212" s="114"/>
      <c r="B1212" s="114"/>
    </row>
    <row r="1213" spans="1:2" x14ac:dyDescent="0.3">
      <c r="A1213" s="114"/>
      <c r="B1213" s="114"/>
    </row>
    <row r="1214" spans="1:2" x14ac:dyDescent="0.3">
      <c r="A1214" s="114"/>
      <c r="B1214" s="114"/>
    </row>
    <row r="1215" spans="1:2" x14ac:dyDescent="0.3">
      <c r="A1215" s="114"/>
      <c r="B1215" s="114"/>
    </row>
    <row r="1216" spans="1:2" x14ac:dyDescent="0.3">
      <c r="A1216" s="114"/>
      <c r="B1216" s="114"/>
    </row>
    <row r="1217" spans="1:2" x14ac:dyDescent="0.3">
      <c r="A1217" s="114"/>
      <c r="B1217" s="114"/>
    </row>
    <row r="1218" spans="1:2" x14ac:dyDescent="0.3">
      <c r="A1218" s="114"/>
      <c r="B1218" s="114"/>
    </row>
    <row r="1219" spans="1:2" x14ac:dyDescent="0.3">
      <c r="A1219" s="114"/>
      <c r="B1219" s="114"/>
    </row>
    <row r="1220" spans="1:2" x14ac:dyDescent="0.3">
      <c r="A1220" s="114"/>
      <c r="B1220" s="114"/>
    </row>
    <row r="1221" spans="1:2" x14ac:dyDescent="0.3">
      <c r="A1221" s="114"/>
      <c r="B1221" s="114"/>
    </row>
    <row r="1222" spans="1:2" x14ac:dyDescent="0.3">
      <c r="A1222" s="114"/>
      <c r="B1222" s="114"/>
    </row>
    <row r="1223" spans="1:2" x14ac:dyDescent="0.3">
      <c r="A1223" s="114"/>
      <c r="B1223" s="114"/>
    </row>
    <row r="1224" spans="1:2" x14ac:dyDescent="0.3">
      <c r="A1224" s="114"/>
      <c r="B1224" s="114"/>
    </row>
    <row r="1225" spans="1:2" x14ac:dyDescent="0.3">
      <c r="A1225" s="114"/>
      <c r="B1225" s="114"/>
    </row>
    <row r="1226" spans="1:2" x14ac:dyDescent="0.3">
      <c r="A1226" s="114"/>
      <c r="B1226" s="114"/>
    </row>
    <row r="1227" spans="1:2" x14ac:dyDescent="0.3">
      <c r="A1227" s="114"/>
      <c r="B1227" s="114"/>
    </row>
    <row r="1228" spans="1:2" x14ac:dyDescent="0.3">
      <c r="A1228" s="114"/>
      <c r="B1228" s="114"/>
    </row>
    <row r="1229" spans="1:2" x14ac:dyDescent="0.3">
      <c r="A1229" s="114"/>
      <c r="B1229" s="114"/>
    </row>
    <row r="1230" spans="1:2" x14ac:dyDescent="0.3">
      <c r="A1230" s="114"/>
      <c r="B1230" s="114"/>
    </row>
    <row r="1231" spans="1:2" x14ac:dyDescent="0.3">
      <c r="A1231" s="114"/>
      <c r="B1231" s="114"/>
    </row>
    <row r="1232" spans="1:2" x14ac:dyDescent="0.3">
      <c r="A1232" s="114"/>
      <c r="B1232" s="114"/>
    </row>
    <row r="1233" spans="1:2" x14ac:dyDescent="0.3">
      <c r="A1233" s="114"/>
      <c r="B1233" s="114"/>
    </row>
    <row r="1234" spans="1:2" x14ac:dyDescent="0.3">
      <c r="A1234" s="114"/>
      <c r="B1234" s="114"/>
    </row>
    <row r="1235" spans="1:2" x14ac:dyDescent="0.3">
      <c r="A1235" s="114"/>
      <c r="B1235" s="114"/>
    </row>
    <row r="1236" spans="1:2" x14ac:dyDescent="0.3">
      <c r="A1236" s="114"/>
      <c r="B1236" s="114"/>
    </row>
    <row r="1237" spans="1:2" x14ac:dyDescent="0.3">
      <c r="A1237" s="114"/>
      <c r="B1237" s="114"/>
    </row>
    <row r="1238" spans="1:2" x14ac:dyDescent="0.3">
      <c r="A1238" s="114"/>
      <c r="B1238" s="114"/>
    </row>
    <row r="1239" spans="1:2" x14ac:dyDescent="0.3">
      <c r="A1239" s="114"/>
      <c r="B1239" s="114"/>
    </row>
    <row r="1240" spans="1:2" x14ac:dyDescent="0.3">
      <c r="A1240" s="114"/>
      <c r="B1240" s="114"/>
    </row>
    <row r="1241" spans="1:2" x14ac:dyDescent="0.3">
      <c r="A1241" s="114"/>
      <c r="B1241" s="114"/>
    </row>
    <row r="1242" spans="1:2" x14ac:dyDescent="0.3">
      <c r="A1242" s="114"/>
      <c r="B1242" s="114"/>
    </row>
    <row r="1243" spans="1:2" x14ac:dyDescent="0.3">
      <c r="A1243" s="114"/>
      <c r="B1243" s="114"/>
    </row>
    <row r="1244" spans="1:2" x14ac:dyDescent="0.3">
      <c r="A1244" s="114"/>
      <c r="B1244" s="114"/>
    </row>
    <row r="1245" spans="1:2" x14ac:dyDescent="0.3">
      <c r="A1245" s="114"/>
      <c r="B1245" s="114"/>
    </row>
    <row r="1246" spans="1:2" x14ac:dyDescent="0.3">
      <c r="A1246" s="114"/>
      <c r="B1246" s="114"/>
    </row>
    <row r="1247" spans="1:2" x14ac:dyDescent="0.3">
      <c r="A1247" s="114"/>
      <c r="B1247" s="114"/>
    </row>
    <row r="1248" spans="1:2" x14ac:dyDescent="0.3">
      <c r="A1248" s="114"/>
      <c r="B1248" s="114"/>
    </row>
    <row r="1249" spans="1:2" x14ac:dyDescent="0.3">
      <c r="A1249" s="114"/>
      <c r="B1249" s="114"/>
    </row>
    <row r="1250" spans="1:2" x14ac:dyDescent="0.3">
      <c r="A1250" s="114"/>
      <c r="B1250" s="114"/>
    </row>
    <row r="1251" spans="1:2" x14ac:dyDescent="0.3">
      <c r="A1251" s="114"/>
      <c r="B1251" s="114"/>
    </row>
    <row r="1252" spans="1:2" x14ac:dyDescent="0.3">
      <c r="A1252" s="114"/>
      <c r="B1252" s="114"/>
    </row>
    <row r="1253" spans="1:2" x14ac:dyDescent="0.3">
      <c r="A1253" s="114"/>
      <c r="B1253" s="114"/>
    </row>
    <row r="1254" spans="1:2" x14ac:dyDescent="0.3">
      <c r="A1254" s="114"/>
      <c r="B1254" s="114"/>
    </row>
    <row r="1255" spans="1:2" x14ac:dyDescent="0.3">
      <c r="A1255" s="114"/>
      <c r="B1255" s="114"/>
    </row>
    <row r="1256" spans="1:2" x14ac:dyDescent="0.3">
      <c r="A1256" s="114"/>
      <c r="B1256" s="114"/>
    </row>
    <row r="1257" spans="1:2" x14ac:dyDescent="0.3">
      <c r="A1257" s="114"/>
      <c r="B1257" s="114"/>
    </row>
    <row r="1258" spans="1:2" x14ac:dyDescent="0.3">
      <c r="A1258" s="114"/>
      <c r="B1258" s="114"/>
    </row>
    <row r="1259" spans="1:2" x14ac:dyDescent="0.3">
      <c r="A1259" s="114"/>
      <c r="B1259" s="114"/>
    </row>
    <row r="1260" spans="1:2" x14ac:dyDescent="0.3">
      <c r="A1260" s="114"/>
      <c r="B1260" s="114"/>
    </row>
    <row r="1261" spans="1:2" x14ac:dyDescent="0.3">
      <c r="A1261" s="114"/>
      <c r="B1261" s="114"/>
    </row>
    <row r="1262" spans="1:2" x14ac:dyDescent="0.3">
      <c r="A1262" s="114"/>
      <c r="B1262" s="114"/>
    </row>
    <row r="1263" spans="1:2" x14ac:dyDescent="0.3">
      <c r="A1263" s="114"/>
      <c r="B1263" s="114"/>
    </row>
    <row r="1264" spans="1:2" x14ac:dyDescent="0.3">
      <c r="A1264" s="114"/>
      <c r="B1264" s="114"/>
    </row>
    <row r="1265" spans="1:2" x14ac:dyDescent="0.3">
      <c r="A1265" s="114"/>
      <c r="B1265" s="114"/>
    </row>
    <row r="1266" spans="1:2" x14ac:dyDescent="0.3">
      <c r="A1266" s="114"/>
      <c r="B1266" s="114"/>
    </row>
    <row r="1267" spans="1:2" x14ac:dyDescent="0.3">
      <c r="A1267" s="114"/>
      <c r="B1267" s="114"/>
    </row>
    <row r="1268" spans="1:2" x14ac:dyDescent="0.3">
      <c r="A1268" s="114"/>
      <c r="B1268" s="114"/>
    </row>
    <row r="1269" spans="1:2" x14ac:dyDescent="0.3">
      <c r="A1269" s="114"/>
      <c r="B1269" s="114"/>
    </row>
    <row r="1270" spans="1:2" x14ac:dyDescent="0.3">
      <c r="A1270" s="114"/>
      <c r="B1270" s="114"/>
    </row>
    <row r="1271" spans="1:2" x14ac:dyDescent="0.3">
      <c r="A1271" s="114"/>
      <c r="B1271" s="114"/>
    </row>
    <row r="1272" spans="1:2" x14ac:dyDescent="0.3">
      <c r="A1272" s="114"/>
      <c r="B1272" s="114"/>
    </row>
    <row r="1273" spans="1:2" x14ac:dyDescent="0.3">
      <c r="A1273" s="114"/>
      <c r="B1273" s="114"/>
    </row>
    <row r="1274" spans="1:2" x14ac:dyDescent="0.3">
      <c r="A1274" s="114"/>
      <c r="B1274" s="114"/>
    </row>
    <row r="1275" spans="1:2" x14ac:dyDescent="0.3">
      <c r="A1275" s="114"/>
      <c r="B1275" s="114"/>
    </row>
    <row r="1276" spans="1:2" x14ac:dyDescent="0.3">
      <c r="A1276" s="114"/>
      <c r="B1276" s="114"/>
    </row>
    <row r="1277" spans="1:2" x14ac:dyDescent="0.3">
      <c r="A1277" s="114"/>
      <c r="B1277" s="114"/>
    </row>
    <row r="1278" spans="1:2" x14ac:dyDescent="0.3">
      <c r="A1278" s="114"/>
      <c r="B1278" s="114"/>
    </row>
    <row r="1279" spans="1:2" x14ac:dyDescent="0.3">
      <c r="A1279" s="114"/>
      <c r="B1279" s="114"/>
    </row>
    <row r="1280" spans="1:2" x14ac:dyDescent="0.3">
      <c r="A1280" s="114"/>
      <c r="B1280" s="114"/>
    </row>
    <row r="1281" spans="1:2" x14ac:dyDescent="0.3">
      <c r="A1281" s="114"/>
      <c r="B1281" s="114"/>
    </row>
    <row r="1282" spans="1:2" x14ac:dyDescent="0.3">
      <c r="A1282" s="114"/>
      <c r="B1282" s="114"/>
    </row>
    <row r="1283" spans="1:2" x14ac:dyDescent="0.3">
      <c r="A1283" s="114"/>
      <c r="B1283" s="114"/>
    </row>
    <row r="1284" spans="1:2" x14ac:dyDescent="0.3">
      <c r="A1284" s="114"/>
      <c r="B1284" s="114"/>
    </row>
    <row r="1285" spans="1:2" x14ac:dyDescent="0.3">
      <c r="A1285" s="114"/>
      <c r="B1285" s="114"/>
    </row>
    <row r="1286" spans="1:2" x14ac:dyDescent="0.3">
      <c r="A1286" s="114"/>
      <c r="B1286" s="114"/>
    </row>
    <row r="1287" spans="1:2" x14ac:dyDescent="0.3">
      <c r="A1287" s="114"/>
      <c r="B1287" s="114"/>
    </row>
    <row r="1288" spans="1:2" x14ac:dyDescent="0.3">
      <c r="A1288" s="114"/>
      <c r="B1288" s="114"/>
    </row>
    <row r="1289" spans="1:2" x14ac:dyDescent="0.3">
      <c r="A1289" s="114"/>
      <c r="B1289" s="114"/>
    </row>
    <row r="1290" spans="1:2" x14ac:dyDescent="0.3">
      <c r="A1290" s="114"/>
      <c r="B1290" s="114"/>
    </row>
    <row r="1291" spans="1:2" x14ac:dyDescent="0.3">
      <c r="A1291" s="114"/>
      <c r="B1291" s="114"/>
    </row>
    <row r="1292" spans="1:2" x14ac:dyDescent="0.3">
      <c r="A1292" s="114"/>
      <c r="B1292" s="114"/>
    </row>
    <row r="1293" spans="1:2" x14ac:dyDescent="0.3">
      <c r="A1293" s="114"/>
      <c r="B1293" s="114"/>
    </row>
    <row r="1294" spans="1:2" x14ac:dyDescent="0.3">
      <c r="A1294" s="114"/>
      <c r="B1294" s="114"/>
    </row>
    <row r="1295" spans="1:2" x14ac:dyDescent="0.3">
      <c r="A1295" s="114"/>
      <c r="B1295" s="114"/>
    </row>
    <row r="1296" spans="1:2" x14ac:dyDescent="0.3">
      <c r="A1296" s="114"/>
      <c r="B1296" s="114"/>
    </row>
    <row r="1297" spans="1:2" x14ac:dyDescent="0.3">
      <c r="A1297" s="114"/>
      <c r="B1297" s="114"/>
    </row>
    <row r="1298" spans="1:2" x14ac:dyDescent="0.3">
      <c r="A1298" s="114"/>
      <c r="B1298" s="114"/>
    </row>
    <row r="1299" spans="1:2" x14ac:dyDescent="0.3">
      <c r="A1299" s="114"/>
      <c r="B1299" s="114"/>
    </row>
    <row r="1300" spans="1:2" x14ac:dyDescent="0.3">
      <c r="A1300" s="114"/>
      <c r="B1300" s="114"/>
    </row>
    <row r="1301" spans="1:2" x14ac:dyDescent="0.3">
      <c r="A1301" s="114"/>
      <c r="B1301" s="114"/>
    </row>
    <row r="1302" spans="1:2" x14ac:dyDescent="0.3">
      <c r="A1302" s="114"/>
      <c r="B1302" s="114"/>
    </row>
    <row r="1303" spans="1:2" x14ac:dyDescent="0.3">
      <c r="A1303" s="114"/>
      <c r="B1303" s="114"/>
    </row>
    <row r="1304" spans="1:2" x14ac:dyDescent="0.3">
      <c r="A1304" s="114"/>
      <c r="B1304" s="114"/>
    </row>
    <row r="1305" spans="1:2" x14ac:dyDescent="0.3">
      <c r="A1305" s="114"/>
      <c r="B1305" s="114"/>
    </row>
    <row r="1306" spans="1:2" x14ac:dyDescent="0.3">
      <c r="A1306" s="114"/>
      <c r="B1306" s="114"/>
    </row>
    <row r="1307" spans="1:2" x14ac:dyDescent="0.3">
      <c r="A1307" s="114"/>
      <c r="B1307" s="114"/>
    </row>
    <row r="1308" spans="1:2" x14ac:dyDescent="0.3">
      <c r="A1308" s="114"/>
      <c r="B1308" s="114"/>
    </row>
    <row r="1309" spans="1:2" x14ac:dyDescent="0.3">
      <c r="A1309" s="114"/>
      <c r="B1309" s="114"/>
    </row>
    <row r="1310" spans="1:2" x14ac:dyDescent="0.3">
      <c r="A1310" s="114"/>
      <c r="B1310" s="114"/>
    </row>
    <row r="1311" spans="1:2" x14ac:dyDescent="0.3">
      <c r="A1311" s="114"/>
      <c r="B1311" s="114"/>
    </row>
    <row r="1312" spans="1:2" x14ac:dyDescent="0.3">
      <c r="A1312" s="114"/>
      <c r="B1312" s="114"/>
    </row>
    <row r="1313" spans="1:2" x14ac:dyDescent="0.3">
      <c r="A1313" s="114"/>
      <c r="B1313" s="114"/>
    </row>
    <row r="1314" spans="1:2" x14ac:dyDescent="0.3">
      <c r="A1314" s="114"/>
      <c r="B1314" s="114"/>
    </row>
    <row r="1315" spans="1:2" x14ac:dyDescent="0.3">
      <c r="A1315" s="114"/>
      <c r="B1315" s="114"/>
    </row>
    <row r="1316" spans="1:2" x14ac:dyDescent="0.3">
      <c r="A1316" s="114"/>
      <c r="B1316" s="114"/>
    </row>
    <row r="1317" spans="1:2" x14ac:dyDescent="0.3">
      <c r="A1317" s="114"/>
      <c r="B1317" s="114"/>
    </row>
    <row r="1318" spans="1:2" x14ac:dyDescent="0.3">
      <c r="A1318" s="114"/>
      <c r="B1318" s="114"/>
    </row>
    <row r="1319" spans="1:2" x14ac:dyDescent="0.3">
      <c r="A1319" s="114"/>
      <c r="B1319" s="114"/>
    </row>
    <row r="1320" spans="1:2" x14ac:dyDescent="0.3">
      <c r="A1320" s="114"/>
      <c r="B1320" s="114"/>
    </row>
    <row r="1321" spans="1:2" x14ac:dyDescent="0.3">
      <c r="A1321" s="114"/>
      <c r="B1321" s="114"/>
    </row>
    <row r="1322" spans="1:2" x14ac:dyDescent="0.3">
      <c r="A1322" s="114"/>
      <c r="B1322" s="114"/>
    </row>
    <row r="1323" spans="1:2" x14ac:dyDescent="0.3">
      <c r="A1323" s="114"/>
      <c r="B1323" s="114"/>
    </row>
    <row r="1324" spans="1:2" x14ac:dyDescent="0.3">
      <c r="A1324" s="114"/>
      <c r="B1324" s="114"/>
    </row>
    <row r="1325" spans="1:2" x14ac:dyDescent="0.3">
      <c r="A1325" s="114"/>
      <c r="B1325" s="114"/>
    </row>
    <row r="1326" spans="1:2" x14ac:dyDescent="0.3">
      <c r="A1326" s="114"/>
      <c r="B1326" s="114"/>
    </row>
    <row r="1327" spans="1:2" x14ac:dyDescent="0.3">
      <c r="A1327" s="114"/>
      <c r="B1327" s="114"/>
    </row>
    <row r="1328" spans="1:2" x14ac:dyDescent="0.3">
      <c r="A1328" s="114"/>
      <c r="B1328" s="114"/>
    </row>
    <row r="1329" spans="1:2" x14ac:dyDescent="0.3">
      <c r="A1329" s="114"/>
      <c r="B1329" s="114"/>
    </row>
    <row r="1330" spans="1:2" x14ac:dyDescent="0.3">
      <c r="A1330" s="114"/>
      <c r="B1330" s="114"/>
    </row>
    <row r="1331" spans="1:2" x14ac:dyDescent="0.3">
      <c r="A1331" s="114"/>
      <c r="B1331" s="114"/>
    </row>
    <row r="1332" spans="1:2" x14ac:dyDescent="0.3">
      <c r="A1332" s="114"/>
      <c r="B1332" s="114"/>
    </row>
    <row r="1333" spans="1:2" x14ac:dyDescent="0.3">
      <c r="A1333" s="114"/>
      <c r="B1333" s="114"/>
    </row>
    <row r="1334" spans="1:2" x14ac:dyDescent="0.3">
      <c r="A1334" s="114"/>
      <c r="B1334" s="114"/>
    </row>
    <row r="1335" spans="1:2" x14ac:dyDescent="0.3">
      <c r="A1335" s="114"/>
      <c r="B1335" s="114"/>
    </row>
    <row r="1336" spans="1:2" x14ac:dyDescent="0.3">
      <c r="A1336" s="114"/>
      <c r="B1336" s="114"/>
    </row>
    <row r="1337" spans="1:2" x14ac:dyDescent="0.3">
      <c r="A1337" s="114"/>
      <c r="B1337" s="114"/>
    </row>
    <row r="1338" spans="1:2" x14ac:dyDescent="0.3">
      <c r="A1338" s="114"/>
      <c r="B1338" s="114"/>
    </row>
    <row r="1339" spans="1:2" x14ac:dyDescent="0.3">
      <c r="A1339" s="114"/>
      <c r="B1339" s="114"/>
    </row>
    <row r="1340" spans="1:2" x14ac:dyDescent="0.3">
      <c r="A1340" s="114"/>
      <c r="B1340" s="114"/>
    </row>
    <row r="1341" spans="1:2" x14ac:dyDescent="0.3">
      <c r="A1341" s="114"/>
      <c r="B1341" s="114"/>
    </row>
    <row r="1342" spans="1:2" x14ac:dyDescent="0.3">
      <c r="A1342" s="114"/>
      <c r="B1342" s="114"/>
    </row>
    <row r="1343" spans="1:2" x14ac:dyDescent="0.3">
      <c r="A1343" s="114"/>
      <c r="B1343" s="114"/>
    </row>
    <row r="1344" spans="1:2" x14ac:dyDescent="0.3">
      <c r="A1344" s="114"/>
      <c r="B1344" s="114"/>
    </row>
    <row r="1345" spans="1:2" x14ac:dyDescent="0.3">
      <c r="A1345" s="114"/>
      <c r="B1345" s="114"/>
    </row>
    <row r="1346" spans="1:2" x14ac:dyDescent="0.3">
      <c r="A1346" s="114"/>
      <c r="B1346" s="114"/>
    </row>
    <row r="1347" spans="1:2" x14ac:dyDescent="0.3">
      <c r="A1347" s="114"/>
      <c r="B1347" s="114"/>
    </row>
    <row r="1348" spans="1:2" x14ac:dyDescent="0.3">
      <c r="A1348" s="114"/>
      <c r="B1348" s="114"/>
    </row>
    <row r="1349" spans="1:2" x14ac:dyDescent="0.3">
      <c r="A1349" s="114"/>
      <c r="B1349" s="114"/>
    </row>
    <row r="1350" spans="1:2" x14ac:dyDescent="0.3">
      <c r="A1350" s="114"/>
      <c r="B1350" s="114"/>
    </row>
    <row r="1351" spans="1:2" x14ac:dyDescent="0.3">
      <c r="A1351" s="114"/>
      <c r="B1351" s="114"/>
    </row>
    <row r="1352" spans="1:2" x14ac:dyDescent="0.3">
      <c r="A1352" s="114"/>
      <c r="B1352" s="114"/>
    </row>
    <row r="1353" spans="1:2" x14ac:dyDescent="0.3">
      <c r="A1353" s="114"/>
      <c r="B1353" s="114"/>
    </row>
    <row r="1354" spans="1:2" x14ac:dyDescent="0.3">
      <c r="A1354" s="114"/>
      <c r="B1354" s="114"/>
    </row>
    <row r="1355" spans="1:2" x14ac:dyDescent="0.3">
      <c r="A1355" s="114"/>
      <c r="B1355" s="114"/>
    </row>
    <row r="1356" spans="1:2" x14ac:dyDescent="0.3">
      <c r="A1356" s="114"/>
      <c r="B1356" s="114"/>
    </row>
    <row r="1357" spans="1:2" x14ac:dyDescent="0.3">
      <c r="A1357" s="114"/>
      <c r="B1357" s="114"/>
    </row>
    <row r="1358" spans="1:2" x14ac:dyDescent="0.3">
      <c r="A1358" s="114"/>
      <c r="B1358" s="114"/>
    </row>
    <row r="1359" spans="1:2" x14ac:dyDescent="0.3">
      <c r="A1359" s="114"/>
      <c r="B1359" s="114"/>
    </row>
    <row r="1360" spans="1:2" x14ac:dyDescent="0.3">
      <c r="A1360" s="114"/>
      <c r="B1360" s="114"/>
    </row>
    <row r="1361" spans="1:2" x14ac:dyDescent="0.3">
      <c r="A1361" s="114"/>
      <c r="B1361" s="114"/>
    </row>
    <row r="1362" spans="1:2" x14ac:dyDescent="0.3">
      <c r="A1362" s="114"/>
      <c r="B1362" s="114"/>
    </row>
    <row r="1363" spans="1:2" x14ac:dyDescent="0.3">
      <c r="A1363" s="114"/>
      <c r="B1363" s="114"/>
    </row>
    <row r="1364" spans="1:2" x14ac:dyDescent="0.3">
      <c r="A1364" s="114"/>
      <c r="B1364" s="114"/>
    </row>
    <row r="1365" spans="1:2" x14ac:dyDescent="0.3">
      <c r="A1365" s="114"/>
      <c r="B1365" s="114"/>
    </row>
    <row r="1366" spans="1:2" x14ac:dyDescent="0.3">
      <c r="A1366" s="114"/>
      <c r="B1366" s="114"/>
    </row>
    <row r="1367" spans="1:2" x14ac:dyDescent="0.3">
      <c r="A1367" s="114"/>
      <c r="B1367" s="114"/>
    </row>
    <row r="1368" spans="1:2" x14ac:dyDescent="0.3">
      <c r="A1368" s="114"/>
      <c r="B1368" s="114"/>
    </row>
    <row r="1369" spans="1:2" x14ac:dyDescent="0.3">
      <c r="A1369" s="114"/>
      <c r="B1369" s="114"/>
    </row>
    <row r="1370" spans="1:2" x14ac:dyDescent="0.3">
      <c r="A1370" s="114"/>
      <c r="B1370" s="114"/>
    </row>
    <row r="1371" spans="1:2" x14ac:dyDescent="0.3">
      <c r="A1371" s="114"/>
      <c r="B1371" s="114"/>
    </row>
    <row r="1372" spans="1:2" x14ac:dyDescent="0.3">
      <c r="A1372" s="114"/>
      <c r="B1372" s="114"/>
    </row>
    <row r="1373" spans="1:2" x14ac:dyDescent="0.3">
      <c r="A1373" s="114"/>
      <c r="B1373" s="114"/>
    </row>
    <row r="1374" spans="1:2" x14ac:dyDescent="0.3">
      <c r="A1374" s="114"/>
      <c r="B1374" s="114"/>
    </row>
    <row r="1375" spans="1:2" x14ac:dyDescent="0.3">
      <c r="A1375" s="114"/>
      <c r="B1375" s="114"/>
    </row>
    <row r="1376" spans="1:2" x14ac:dyDescent="0.3">
      <c r="A1376" s="114"/>
      <c r="B1376" s="114"/>
    </row>
    <row r="1377" spans="1:2" x14ac:dyDescent="0.3">
      <c r="A1377" s="114"/>
      <c r="B1377" s="114"/>
    </row>
    <row r="1378" spans="1:2" x14ac:dyDescent="0.3">
      <c r="A1378" s="114"/>
      <c r="B1378" s="114"/>
    </row>
    <row r="1379" spans="1:2" x14ac:dyDescent="0.3">
      <c r="A1379" s="114"/>
      <c r="B1379" s="114"/>
    </row>
    <row r="1380" spans="1:2" x14ac:dyDescent="0.3">
      <c r="A1380" s="114"/>
      <c r="B1380" s="114"/>
    </row>
    <row r="1381" spans="1:2" x14ac:dyDescent="0.3">
      <c r="A1381" s="114"/>
      <c r="B1381" s="114"/>
    </row>
    <row r="1382" spans="1:2" x14ac:dyDescent="0.3">
      <c r="A1382" s="114"/>
      <c r="B1382" s="114"/>
    </row>
    <row r="1383" spans="1:2" x14ac:dyDescent="0.3">
      <c r="A1383" s="114"/>
      <c r="B1383" s="114"/>
    </row>
    <row r="1384" spans="1:2" x14ac:dyDescent="0.3">
      <c r="A1384" s="114"/>
      <c r="B1384" s="114"/>
    </row>
    <row r="1385" spans="1:2" x14ac:dyDescent="0.3">
      <c r="A1385" s="114"/>
      <c r="B1385" s="114"/>
    </row>
    <row r="1386" spans="1:2" x14ac:dyDescent="0.3">
      <c r="A1386" s="114"/>
      <c r="B1386" s="114"/>
    </row>
    <row r="1387" spans="1:2" x14ac:dyDescent="0.3">
      <c r="A1387" s="114"/>
      <c r="B1387" s="114"/>
    </row>
    <row r="1388" spans="1:2" x14ac:dyDescent="0.3">
      <c r="A1388" s="114"/>
      <c r="B1388" s="114"/>
    </row>
    <row r="1389" spans="1:2" x14ac:dyDescent="0.3">
      <c r="A1389" s="114"/>
      <c r="B1389" s="114"/>
    </row>
    <row r="1390" spans="1:2" x14ac:dyDescent="0.3">
      <c r="A1390" s="114"/>
      <c r="B1390" s="114"/>
    </row>
    <row r="1391" spans="1:2" x14ac:dyDescent="0.3">
      <c r="A1391" s="114"/>
      <c r="B1391" s="114"/>
    </row>
    <row r="1392" spans="1:2" x14ac:dyDescent="0.3">
      <c r="A1392" s="114"/>
      <c r="B1392" s="114"/>
    </row>
    <row r="1393" spans="1:2" x14ac:dyDescent="0.3">
      <c r="A1393" s="114"/>
      <c r="B1393" s="114"/>
    </row>
    <row r="1394" spans="1:2" x14ac:dyDescent="0.3">
      <c r="A1394" s="114"/>
      <c r="B1394" s="114"/>
    </row>
    <row r="1395" spans="1:2" x14ac:dyDescent="0.3">
      <c r="A1395" s="114"/>
      <c r="B1395" s="114"/>
    </row>
    <row r="1396" spans="1:2" x14ac:dyDescent="0.3">
      <c r="A1396" s="114"/>
      <c r="B1396" s="114"/>
    </row>
    <row r="1397" spans="1:2" x14ac:dyDescent="0.3">
      <c r="A1397" s="114"/>
      <c r="B1397" s="114"/>
    </row>
    <row r="1398" spans="1:2" x14ac:dyDescent="0.3">
      <c r="A1398" s="114"/>
      <c r="B1398" s="114"/>
    </row>
    <row r="1399" spans="1:2" x14ac:dyDescent="0.3">
      <c r="A1399" s="114"/>
      <c r="B1399" s="114"/>
    </row>
    <row r="1400" spans="1:2" x14ac:dyDescent="0.3">
      <c r="A1400" s="114"/>
      <c r="B1400" s="114"/>
    </row>
    <row r="1401" spans="1:2" x14ac:dyDescent="0.3">
      <c r="A1401" s="114"/>
      <c r="B1401" s="114"/>
    </row>
    <row r="1402" spans="1:2" x14ac:dyDescent="0.3">
      <c r="A1402" s="114"/>
      <c r="B1402" s="114"/>
    </row>
    <row r="1403" spans="1:2" x14ac:dyDescent="0.3">
      <c r="A1403" s="114"/>
      <c r="B1403" s="114"/>
    </row>
    <row r="1404" spans="1:2" x14ac:dyDescent="0.3">
      <c r="A1404" s="114"/>
      <c r="B1404" s="114"/>
    </row>
    <row r="1405" spans="1:2" x14ac:dyDescent="0.3">
      <c r="A1405" s="114"/>
      <c r="B1405" s="114"/>
    </row>
    <row r="1406" spans="1:2" x14ac:dyDescent="0.3">
      <c r="A1406" s="114"/>
      <c r="B1406" s="114"/>
    </row>
    <row r="1407" spans="1:2" x14ac:dyDescent="0.3">
      <c r="A1407" s="114"/>
      <c r="B1407" s="114"/>
    </row>
    <row r="1408" spans="1:2" x14ac:dyDescent="0.3">
      <c r="A1408" s="114"/>
      <c r="B1408" s="114"/>
    </row>
    <row r="1409" spans="1:2" x14ac:dyDescent="0.3">
      <c r="A1409" s="114"/>
      <c r="B1409" s="114"/>
    </row>
    <row r="1410" spans="1:2" x14ac:dyDescent="0.3">
      <c r="A1410" s="114"/>
      <c r="B1410" s="114"/>
    </row>
    <row r="1411" spans="1:2" x14ac:dyDescent="0.3">
      <c r="A1411" s="114"/>
      <c r="B1411" s="114"/>
    </row>
    <row r="1412" spans="1:2" x14ac:dyDescent="0.3">
      <c r="A1412" s="114"/>
      <c r="B1412" s="114"/>
    </row>
    <row r="1413" spans="1:2" x14ac:dyDescent="0.3">
      <c r="A1413" s="114"/>
      <c r="B1413" s="114"/>
    </row>
    <row r="1414" spans="1:2" x14ac:dyDescent="0.3">
      <c r="A1414" s="114"/>
      <c r="B1414" s="114"/>
    </row>
    <row r="1415" spans="1:2" x14ac:dyDescent="0.3">
      <c r="A1415" s="114"/>
      <c r="B1415" s="114"/>
    </row>
    <row r="1416" spans="1:2" x14ac:dyDescent="0.3">
      <c r="A1416" s="114"/>
      <c r="B1416" s="114"/>
    </row>
    <row r="1417" spans="1:2" x14ac:dyDescent="0.3">
      <c r="A1417" s="114"/>
      <c r="B1417" s="114"/>
    </row>
    <row r="1418" spans="1:2" x14ac:dyDescent="0.3">
      <c r="A1418" s="114"/>
      <c r="B1418" s="114"/>
    </row>
    <row r="1419" spans="1:2" x14ac:dyDescent="0.3">
      <c r="A1419" s="114"/>
      <c r="B1419" s="114"/>
    </row>
    <row r="1420" spans="1:2" x14ac:dyDescent="0.3">
      <c r="A1420" s="114"/>
      <c r="B1420" s="114"/>
    </row>
    <row r="1421" spans="1:2" x14ac:dyDescent="0.3">
      <c r="A1421" s="114"/>
      <c r="B1421" s="114"/>
    </row>
    <row r="1422" spans="1:2" x14ac:dyDescent="0.3">
      <c r="A1422" s="114"/>
      <c r="B1422" s="114"/>
    </row>
    <row r="1423" spans="1:2" x14ac:dyDescent="0.3">
      <c r="A1423" s="114"/>
      <c r="B1423" s="114"/>
    </row>
    <row r="1424" spans="1:2" x14ac:dyDescent="0.3">
      <c r="A1424" s="114"/>
      <c r="B1424" s="114"/>
    </row>
    <row r="1425" spans="1:2" x14ac:dyDescent="0.3">
      <c r="A1425" s="114"/>
      <c r="B1425" s="114"/>
    </row>
    <row r="1426" spans="1:2" x14ac:dyDescent="0.3">
      <c r="A1426" s="114"/>
      <c r="B1426" s="114"/>
    </row>
    <row r="1427" spans="1:2" x14ac:dyDescent="0.3">
      <c r="A1427" s="114"/>
      <c r="B1427" s="114"/>
    </row>
    <row r="1428" spans="1:2" x14ac:dyDescent="0.3">
      <c r="A1428" s="114"/>
      <c r="B1428" s="114"/>
    </row>
    <row r="1429" spans="1:2" x14ac:dyDescent="0.3">
      <c r="A1429" s="114"/>
      <c r="B1429" s="114"/>
    </row>
    <row r="1430" spans="1:2" x14ac:dyDescent="0.3">
      <c r="A1430" s="114"/>
      <c r="B1430" s="114"/>
    </row>
    <row r="1431" spans="1:2" x14ac:dyDescent="0.3">
      <c r="A1431" s="114"/>
      <c r="B1431" s="114"/>
    </row>
    <row r="1432" spans="1:2" x14ac:dyDescent="0.3">
      <c r="A1432" s="114"/>
      <c r="B1432" s="114"/>
    </row>
    <row r="1433" spans="1:2" x14ac:dyDescent="0.3">
      <c r="A1433" s="114"/>
      <c r="B1433" s="114"/>
    </row>
    <row r="1434" spans="1:2" x14ac:dyDescent="0.3">
      <c r="A1434" s="114"/>
      <c r="B1434" s="114"/>
    </row>
    <row r="1435" spans="1:2" x14ac:dyDescent="0.3">
      <c r="A1435" s="114"/>
      <c r="B1435" s="114"/>
    </row>
    <row r="1436" spans="1:2" x14ac:dyDescent="0.3">
      <c r="A1436" s="114"/>
      <c r="B1436" s="114"/>
    </row>
    <row r="1437" spans="1:2" x14ac:dyDescent="0.3">
      <c r="A1437" s="114"/>
      <c r="B1437" s="114"/>
    </row>
    <row r="1438" spans="1:2" x14ac:dyDescent="0.3">
      <c r="A1438" s="114"/>
      <c r="B1438" s="114"/>
    </row>
    <row r="1439" spans="1:2" x14ac:dyDescent="0.3">
      <c r="A1439" s="114"/>
      <c r="B1439" s="114"/>
    </row>
    <row r="1440" spans="1:2" x14ac:dyDescent="0.3">
      <c r="A1440" s="114"/>
      <c r="B1440" s="114"/>
    </row>
    <row r="1441" spans="1:2" x14ac:dyDescent="0.3">
      <c r="A1441" s="114"/>
      <c r="B1441" s="114"/>
    </row>
    <row r="1442" spans="1:2" x14ac:dyDescent="0.3">
      <c r="A1442" s="114"/>
      <c r="B1442" s="114"/>
    </row>
    <row r="1443" spans="1:2" x14ac:dyDescent="0.3">
      <c r="A1443" s="114"/>
      <c r="B1443" s="114"/>
    </row>
    <row r="1444" spans="1:2" x14ac:dyDescent="0.3">
      <c r="A1444" s="114"/>
      <c r="B1444" s="114"/>
    </row>
    <row r="1445" spans="1:2" x14ac:dyDescent="0.3">
      <c r="A1445" s="114"/>
      <c r="B1445" s="114"/>
    </row>
    <row r="1446" spans="1:2" x14ac:dyDescent="0.3">
      <c r="A1446" s="114"/>
      <c r="B1446" s="114"/>
    </row>
    <row r="1447" spans="1:2" x14ac:dyDescent="0.3">
      <c r="A1447" s="114"/>
      <c r="B1447" s="114"/>
    </row>
    <row r="1448" spans="1:2" x14ac:dyDescent="0.3">
      <c r="A1448" s="114"/>
      <c r="B1448" s="114"/>
    </row>
    <row r="1449" spans="1:2" x14ac:dyDescent="0.3">
      <c r="A1449" s="114"/>
      <c r="B1449" s="114"/>
    </row>
    <row r="1450" spans="1:2" x14ac:dyDescent="0.3">
      <c r="A1450" s="114"/>
      <c r="B1450" s="114"/>
    </row>
    <row r="1451" spans="1:2" x14ac:dyDescent="0.3">
      <c r="A1451" s="114"/>
      <c r="B1451" s="114"/>
    </row>
    <row r="1452" spans="1:2" x14ac:dyDescent="0.3">
      <c r="A1452" s="114"/>
      <c r="B1452" s="114"/>
    </row>
    <row r="1453" spans="1:2" x14ac:dyDescent="0.3">
      <c r="A1453" s="114"/>
      <c r="B1453" s="114"/>
    </row>
    <row r="1454" spans="1:2" x14ac:dyDescent="0.3">
      <c r="A1454" s="114"/>
      <c r="B1454" s="114"/>
    </row>
    <row r="1455" spans="1:2" x14ac:dyDescent="0.3">
      <c r="A1455" s="114"/>
      <c r="B1455" s="114"/>
    </row>
    <row r="1456" spans="1:2" x14ac:dyDescent="0.3">
      <c r="A1456" s="114"/>
      <c r="B1456" s="114"/>
    </row>
    <row r="1457" spans="1:2" x14ac:dyDescent="0.3">
      <c r="A1457" s="114"/>
      <c r="B1457" s="114"/>
    </row>
    <row r="1458" spans="1:2" x14ac:dyDescent="0.3">
      <c r="A1458" s="114"/>
      <c r="B1458" s="114"/>
    </row>
    <row r="1459" spans="1:2" x14ac:dyDescent="0.3">
      <c r="A1459" s="114"/>
      <c r="B1459" s="114"/>
    </row>
    <row r="1460" spans="1:2" x14ac:dyDescent="0.3">
      <c r="A1460" s="114"/>
      <c r="B1460" s="114"/>
    </row>
    <row r="1461" spans="1:2" x14ac:dyDescent="0.3">
      <c r="A1461" s="114"/>
      <c r="B1461" s="114"/>
    </row>
    <row r="1462" spans="1:2" x14ac:dyDescent="0.3">
      <c r="A1462" s="114"/>
      <c r="B1462" s="114"/>
    </row>
    <row r="1463" spans="1:2" x14ac:dyDescent="0.3">
      <c r="A1463" s="114"/>
      <c r="B1463" s="114"/>
    </row>
    <row r="1464" spans="1:2" x14ac:dyDescent="0.3">
      <c r="A1464" s="114"/>
      <c r="B1464" s="114"/>
    </row>
    <row r="1465" spans="1:2" x14ac:dyDescent="0.3">
      <c r="A1465" s="114"/>
      <c r="B1465" s="114"/>
    </row>
    <row r="1466" spans="1:2" x14ac:dyDescent="0.3">
      <c r="A1466" s="114"/>
      <c r="B1466" s="114"/>
    </row>
    <row r="1467" spans="1:2" x14ac:dyDescent="0.3">
      <c r="A1467" s="114"/>
      <c r="B1467" s="114"/>
    </row>
    <row r="1468" spans="1:2" x14ac:dyDescent="0.3">
      <c r="A1468" s="114"/>
      <c r="B1468" s="114"/>
    </row>
    <row r="1469" spans="1:2" x14ac:dyDescent="0.3">
      <c r="A1469" s="114"/>
      <c r="B1469" s="114"/>
    </row>
    <row r="1470" spans="1:2" x14ac:dyDescent="0.3">
      <c r="A1470" s="114"/>
      <c r="B1470" s="114"/>
    </row>
    <row r="1471" spans="1:2" x14ac:dyDescent="0.3">
      <c r="A1471" s="114"/>
      <c r="B1471" s="114"/>
    </row>
    <row r="1472" spans="1:2" x14ac:dyDescent="0.3">
      <c r="A1472" s="114"/>
      <c r="B1472" s="114"/>
    </row>
    <row r="1473" spans="1:2" x14ac:dyDescent="0.3">
      <c r="A1473" s="114"/>
      <c r="B1473" s="114"/>
    </row>
    <row r="1474" spans="1:2" x14ac:dyDescent="0.3">
      <c r="A1474" s="114"/>
      <c r="B1474" s="114"/>
    </row>
    <row r="1475" spans="1:2" x14ac:dyDescent="0.3">
      <c r="A1475" s="114"/>
      <c r="B1475" s="114"/>
    </row>
    <row r="1476" spans="1:2" x14ac:dyDescent="0.3">
      <c r="A1476" s="114"/>
      <c r="B1476" s="114"/>
    </row>
    <row r="1477" spans="1:2" x14ac:dyDescent="0.3">
      <c r="A1477" s="114"/>
      <c r="B1477" s="114"/>
    </row>
    <row r="1478" spans="1:2" x14ac:dyDescent="0.3">
      <c r="A1478" s="114"/>
      <c r="B1478" s="114"/>
    </row>
    <row r="1479" spans="1:2" x14ac:dyDescent="0.3">
      <c r="A1479" s="114"/>
      <c r="B1479" s="114"/>
    </row>
    <row r="1480" spans="1:2" x14ac:dyDescent="0.3">
      <c r="A1480" s="114"/>
      <c r="B1480" s="114"/>
    </row>
    <row r="1481" spans="1:2" x14ac:dyDescent="0.3">
      <c r="A1481" s="114"/>
      <c r="B1481" s="114"/>
    </row>
    <row r="1482" spans="1:2" x14ac:dyDescent="0.3">
      <c r="A1482" s="114"/>
      <c r="B1482" s="114"/>
    </row>
    <row r="1483" spans="1:2" x14ac:dyDescent="0.3">
      <c r="A1483" s="114"/>
      <c r="B1483" s="114"/>
    </row>
    <row r="1484" spans="1:2" x14ac:dyDescent="0.3">
      <c r="A1484" s="114"/>
      <c r="B1484" s="114"/>
    </row>
    <row r="1485" spans="1:2" x14ac:dyDescent="0.3">
      <c r="A1485" s="114"/>
      <c r="B1485" s="114"/>
    </row>
    <row r="1486" spans="1:2" x14ac:dyDescent="0.3">
      <c r="A1486" s="114"/>
      <c r="B1486" s="114"/>
    </row>
    <row r="1487" spans="1:2" x14ac:dyDescent="0.3">
      <c r="A1487" s="114"/>
      <c r="B1487" s="114"/>
    </row>
    <row r="1488" spans="1:2" x14ac:dyDescent="0.3">
      <c r="A1488" s="114"/>
      <c r="B1488" s="114"/>
    </row>
    <row r="1489" spans="1:2" x14ac:dyDescent="0.3">
      <c r="A1489" s="114"/>
      <c r="B1489" s="114"/>
    </row>
    <row r="1490" spans="1:2" x14ac:dyDescent="0.3">
      <c r="A1490" s="114"/>
      <c r="B1490" s="114"/>
    </row>
    <row r="1491" spans="1:2" x14ac:dyDescent="0.3">
      <c r="A1491" s="114"/>
      <c r="B1491" s="114"/>
    </row>
    <row r="1492" spans="1:2" x14ac:dyDescent="0.3">
      <c r="A1492" s="114"/>
      <c r="B1492" s="114"/>
    </row>
    <row r="1493" spans="1:2" x14ac:dyDescent="0.3">
      <c r="A1493" s="114"/>
      <c r="B1493" s="114"/>
    </row>
    <row r="1494" spans="1:2" x14ac:dyDescent="0.3">
      <c r="A1494" s="114"/>
      <c r="B1494" s="114"/>
    </row>
    <row r="1495" spans="1:2" x14ac:dyDescent="0.3">
      <c r="A1495" s="114"/>
      <c r="B1495" s="114"/>
    </row>
    <row r="1496" spans="1:2" x14ac:dyDescent="0.3">
      <c r="A1496" s="114"/>
      <c r="B1496" s="114"/>
    </row>
    <row r="1497" spans="1:2" x14ac:dyDescent="0.3">
      <c r="A1497" s="114"/>
      <c r="B1497" s="114"/>
    </row>
    <row r="1498" spans="1:2" x14ac:dyDescent="0.3">
      <c r="A1498" s="114"/>
      <c r="B1498" s="114"/>
    </row>
    <row r="1499" spans="1:2" x14ac:dyDescent="0.3">
      <c r="A1499" s="114"/>
      <c r="B1499" s="114"/>
    </row>
    <row r="1500" spans="1:2" x14ac:dyDescent="0.3">
      <c r="A1500" s="114"/>
      <c r="B1500" s="114"/>
    </row>
    <row r="1501" spans="1:2" x14ac:dyDescent="0.3">
      <c r="A1501" s="114"/>
      <c r="B1501" s="114"/>
    </row>
    <row r="1502" spans="1:2" x14ac:dyDescent="0.3">
      <c r="A1502" s="114"/>
      <c r="B1502" s="114"/>
    </row>
    <row r="1503" spans="1:2" x14ac:dyDescent="0.3">
      <c r="A1503" s="114"/>
      <c r="B1503" s="114"/>
    </row>
    <row r="1504" spans="1:2" x14ac:dyDescent="0.3">
      <c r="A1504" s="114"/>
      <c r="B1504" s="114"/>
    </row>
    <row r="1505" spans="1:2" x14ac:dyDescent="0.3">
      <c r="A1505" s="114"/>
      <c r="B1505" s="114"/>
    </row>
    <row r="1506" spans="1:2" x14ac:dyDescent="0.3">
      <c r="A1506" s="114"/>
      <c r="B1506" s="114"/>
    </row>
    <row r="1507" spans="1:2" x14ac:dyDescent="0.3">
      <c r="A1507" s="114"/>
      <c r="B1507" s="114"/>
    </row>
    <row r="1508" spans="1:2" x14ac:dyDescent="0.3">
      <c r="A1508" s="114"/>
      <c r="B1508" s="114"/>
    </row>
    <row r="1509" spans="1:2" x14ac:dyDescent="0.3">
      <c r="A1509" s="114"/>
      <c r="B1509" s="114"/>
    </row>
    <row r="1510" spans="1:2" x14ac:dyDescent="0.3">
      <c r="A1510" s="114"/>
      <c r="B1510" s="114"/>
    </row>
    <row r="1511" spans="1:2" x14ac:dyDescent="0.3">
      <c r="A1511" s="114"/>
      <c r="B1511" s="114"/>
    </row>
    <row r="1512" spans="1:2" x14ac:dyDescent="0.3">
      <c r="A1512" s="114"/>
      <c r="B1512" s="114"/>
    </row>
    <row r="1513" spans="1:2" x14ac:dyDescent="0.3">
      <c r="A1513" s="114"/>
      <c r="B1513" s="114"/>
    </row>
    <row r="1514" spans="1:2" x14ac:dyDescent="0.3">
      <c r="A1514" s="114"/>
      <c r="B1514" s="114"/>
    </row>
    <row r="1515" spans="1:2" x14ac:dyDescent="0.3">
      <c r="A1515" s="114"/>
      <c r="B1515" s="114"/>
    </row>
    <row r="1516" spans="1:2" x14ac:dyDescent="0.3">
      <c r="A1516" s="114"/>
      <c r="B1516" s="114"/>
    </row>
    <row r="1517" spans="1:2" x14ac:dyDescent="0.3">
      <c r="A1517" s="114"/>
      <c r="B1517" s="114"/>
    </row>
    <row r="1518" spans="1:2" x14ac:dyDescent="0.3">
      <c r="A1518" s="114"/>
      <c r="B1518" s="114"/>
    </row>
    <row r="1519" spans="1:2" x14ac:dyDescent="0.3">
      <c r="A1519" s="114"/>
      <c r="B1519" s="114"/>
    </row>
    <row r="1520" spans="1:2" x14ac:dyDescent="0.3">
      <c r="A1520" s="114"/>
      <c r="B1520" s="114"/>
    </row>
    <row r="1521" spans="1:2" x14ac:dyDescent="0.3">
      <c r="A1521" s="114"/>
      <c r="B1521" s="114"/>
    </row>
    <row r="1522" spans="1:2" x14ac:dyDescent="0.3">
      <c r="A1522" s="114"/>
      <c r="B1522" s="114"/>
    </row>
    <row r="1523" spans="1:2" x14ac:dyDescent="0.3">
      <c r="A1523" s="114"/>
      <c r="B1523" s="114"/>
    </row>
    <row r="1524" spans="1:2" x14ac:dyDescent="0.3">
      <c r="A1524" s="114"/>
      <c r="B1524" s="114"/>
    </row>
    <row r="1525" spans="1:2" x14ac:dyDescent="0.3">
      <c r="A1525" s="114"/>
      <c r="B1525" s="114"/>
    </row>
    <row r="1526" spans="1:2" x14ac:dyDescent="0.3">
      <c r="A1526" s="114"/>
      <c r="B1526" s="114"/>
    </row>
    <row r="1527" spans="1:2" x14ac:dyDescent="0.3">
      <c r="A1527" s="114"/>
      <c r="B1527" s="114"/>
    </row>
    <row r="1528" spans="1:2" x14ac:dyDescent="0.3">
      <c r="A1528" s="114"/>
      <c r="B1528" s="114"/>
    </row>
    <row r="1529" spans="1:2" x14ac:dyDescent="0.3">
      <c r="A1529" s="114"/>
      <c r="B1529" s="114"/>
    </row>
    <row r="1530" spans="1:2" x14ac:dyDescent="0.3">
      <c r="A1530" s="114"/>
      <c r="B1530" s="114"/>
    </row>
    <row r="1531" spans="1:2" x14ac:dyDescent="0.3">
      <c r="A1531" s="114"/>
      <c r="B1531" s="114"/>
    </row>
    <row r="1532" spans="1:2" x14ac:dyDescent="0.3">
      <c r="A1532" s="114"/>
      <c r="B1532" s="114"/>
    </row>
    <row r="1533" spans="1:2" x14ac:dyDescent="0.3">
      <c r="A1533" s="114"/>
      <c r="B1533" s="114"/>
    </row>
    <row r="1534" spans="1:2" x14ac:dyDescent="0.3">
      <c r="A1534" s="114"/>
      <c r="B1534" s="114"/>
    </row>
    <row r="1535" spans="1:2" x14ac:dyDescent="0.3">
      <c r="A1535" s="114"/>
      <c r="B1535" s="114"/>
    </row>
    <row r="1536" spans="1:2" x14ac:dyDescent="0.3">
      <c r="A1536" s="114"/>
      <c r="B1536" s="114"/>
    </row>
    <row r="1537" spans="1:2" x14ac:dyDescent="0.3">
      <c r="A1537" s="114"/>
      <c r="B1537" s="114"/>
    </row>
    <row r="1538" spans="1:2" x14ac:dyDescent="0.3">
      <c r="A1538" s="114"/>
      <c r="B1538" s="114"/>
    </row>
    <row r="1539" spans="1:2" x14ac:dyDescent="0.3">
      <c r="A1539" s="114"/>
      <c r="B1539" s="114"/>
    </row>
    <row r="1540" spans="1:2" x14ac:dyDescent="0.3">
      <c r="A1540" s="114"/>
      <c r="B1540" s="114"/>
    </row>
    <row r="1541" spans="1:2" x14ac:dyDescent="0.3">
      <c r="A1541" s="114"/>
      <c r="B1541" s="114"/>
    </row>
    <row r="1542" spans="1:2" x14ac:dyDescent="0.3">
      <c r="A1542" s="114"/>
      <c r="B1542" s="114"/>
    </row>
    <row r="1543" spans="1:2" x14ac:dyDescent="0.3">
      <c r="A1543" s="114"/>
      <c r="B1543" s="114"/>
    </row>
    <row r="1544" spans="1:2" x14ac:dyDescent="0.3">
      <c r="A1544" s="114"/>
      <c r="B1544" s="114"/>
    </row>
    <row r="1545" spans="1:2" x14ac:dyDescent="0.3">
      <c r="A1545" s="114"/>
      <c r="B1545" s="114"/>
    </row>
    <row r="1546" spans="1:2" x14ac:dyDescent="0.3">
      <c r="A1546" s="114"/>
      <c r="B1546" s="114"/>
    </row>
    <row r="1547" spans="1:2" x14ac:dyDescent="0.3">
      <c r="A1547" s="114"/>
      <c r="B1547" s="114"/>
    </row>
    <row r="1548" spans="1:2" x14ac:dyDescent="0.3">
      <c r="A1548" s="114"/>
      <c r="B1548" s="114"/>
    </row>
    <row r="1549" spans="1:2" x14ac:dyDescent="0.3">
      <c r="A1549" s="114"/>
      <c r="B1549" s="114"/>
    </row>
    <row r="1550" spans="1:2" x14ac:dyDescent="0.3">
      <c r="A1550" s="114"/>
      <c r="B1550" s="114"/>
    </row>
    <row r="1551" spans="1:2" x14ac:dyDescent="0.3">
      <c r="A1551" s="114"/>
      <c r="B1551" s="114"/>
    </row>
    <row r="1552" spans="1:2" x14ac:dyDescent="0.3">
      <c r="A1552" s="114"/>
      <c r="B1552" s="114"/>
    </row>
    <row r="1553" spans="1:2" x14ac:dyDescent="0.3">
      <c r="A1553" s="114"/>
      <c r="B1553" s="114"/>
    </row>
    <row r="1554" spans="1:2" x14ac:dyDescent="0.3">
      <c r="A1554" s="114"/>
      <c r="B1554" s="114"/>
    </row>
    <row r="1555" spans="1:2" x14ac:dyDescent="0.3">
      <c r="A1555" s="114"/>
      <c r="B1555" s="114"/>
    </row>
    <row r="1556" spans="1:2" x14ac:dyDescent="0.3">
      <c r="A1556" s="114"/>
      <c r="B1556" s="114"/>
    </row>
    <row r="1557" spans="1:2" x14ac:dyDescent="0.3">
      <c r="A1557" s="114"/>
      <c r="B1557" s="114"/>
    </row>
    <row r="1558" spans="1:2" x14ac:dyDescent="0.3">
      <c r="A1558" s="114"/>
      <c r="B1558" s="114"/>
    </row>
    <row r="1559" spans="1:2" x14ac:dyDescent="0.3">
      <c r="A1559" s="114"/>
      <c r="B1559" s="114"/>
    </row>
    <row r="1560" spans="1:2" x14ac:dyDescent="0.3">
      <c r="A1560" s="114"/>
      <c r="B1560" s="114"/>
    </row>
    <row r="1561" spans="1:2" x14ac:dyDescent="0.3">
      <c r="A1561" s="114"/>
      <c r="B1561" s="114"/>
    </row>
    <row r="1562" spans="1:2" x14ac:dyDescent="0.3">
      <c r="A1562" s="114"/>
      <c r="B1562" s="114"/>
    </row>
    <row r="1563" spans="1:2" x14ac:dyDescent="0.3">
      <c r="A1563" s="114"/>
      <c r="B1563" s="114"/>
    </row>
    <row r="1564" spans="1:2" x14ac:dyDescent="0.3">
      <c r="A1564" s="114"/>
      <c r="B1564" s="114"/>
    </row>
    <row r="1565" spans="1:2" x14ac:dyDescent="0.3">
      <c r="A1565" s="114"/>
      <c r="B1565" s="114"/>
    </row>
    <row r="1566" spans="1:2" x14ac:dyDescent="0.3">
      <c r="A1566" s="114"/>
      <c r="B1566" s="114"/>
    </row>
    <row r="1567" spans="1:2" x14ac:dyDescent="0.3">
      <c r="A1567" s="114"/>
      <c r="B1567" s="114"/>
    </row>
    <row r="1568" spans="1:2" x14ac:dyDescent="0.3">
      <c r="A1568" s="114"/>
      <c r="B1568" s="114"/>
    </row>
    <row r="1569" spans="1:2" x14ac:dyDescent="0.3">
      <c r="A1569" s="114"/>
      <c r="B1569" s="114"/>
    </row>
    <row r="1570" spans="1:2" x14ac:dyDescent="0.3">
      <c r="A1570" s="114"/>
      <c r="B1570" s="114"/>
    </row>
    <row r="1571" spans="1:2" x14ac:dyDescent="0.3">
      <c r="A1571" s="114"/>
      <c r="B1571" s="114"/>
    </row>
    <row r="1572" spans="1:2" x14ac:dyDescent="0.3">
      <c r="A1572" s="114"/>
      <c r="B1572" s="114"/>
    </row>
    <row r="1573" spans="1:2" x14ac:dyDescent="0.3">
      <c r="A1573" s="114"/>
      <c r="B1573" s="114"/>
    </row>
    <row r="1574" spans="1:2" x14ac:dyDescent="0.3">
      <c r="A1574" s="114"/>
      <c r="B1574" s="114"/>
    </row>
    <row r="1575" spans="1:2" x14ac:dyDescent="0.3">
      <c r="A1575" s="114"/>
      <c r="B1575" s="114"/>
    </row>
    <row r="1576" spans="1:2" x14ac:dyDescent="0.3">
      <c r="A1576" s="114"/>
      <c r="B1576" s="114"/>
    </row>
    <row r="1577" spans="1:2" x14ac:dyDescent="0.3">
      <c r="A1577" s="114"/>
      <c r="B1577" s="114"/>
    </row>
    <row r="1578" spans="1:2" x14ac:dyDescent="0.3">
      <c r="A1578" s="114"/>
      <c r="B1578" s="114"/>
    </row>
    <row r="1579" spans="1:2" x14ac:dyDescent="0.3">
      <c r="A1579" s="114"/>
      <c r="B1579" s="114"/>
    </row>
    <row r="1580" spans="1:2" x14ac:dyDescent="0.3">
      <c r="A1580" s="114"/>
      <c r="B1580" s="114"/>
    </row>
    <row r="1581" spans="1:2" x14ac:dyDescent="0.3">
      <c r="A1581" s="114"/>
      <c r="B1581" s="114"/>
    </row>
    <row r="1582" spans="1:2" x14ac:dyDescent="0.3">
      <c r="A1582" s="114"/>
      <c r="B1582" s="114"/>
    </row>
    <row r="1583" spans="1:2" x14ac:dyDescent="0.3">
      <c r="A1583" s="114"/>
      <c r="B1583" s="114"/>
    </row>
    <row r="1584" spans="1:2" x14ac:dyDescent="0.3">
      <c r="A1584" s="114"/>
      <c r="B1584" s="114"/>
    </row>
    <row r="1585" spans="1:2" x14ac:dyDescent="0.3">
      <c r="A1585" s="114"/>
      <c r="B1585" s="114"/>
    </row>
    <row r="1586" spans="1:2" x14ac:dyDescent="0.3">
      <c r="A1586" s="114"/>
      <c r="B1586" s="114"/>
    </row>
    <row r="1587" spans="1:2" x14ac:dyDescent="0.3">
      <c r="A1587" s="114"/>
      <c r="B1587" s="114"/>
    </row>
    <row r="1588" spans="1:2" x14ac:dyDescent="0.3">
      <c r="A1588" s="114"/>
      <c r="B1588" s="114"/>
    </row>
    <row r="1589" spans="1:2" x14ac:dyDescent="0.3">
      <c r="A1589" s="114"/>
      <c r="B1589" s="114"/>
    </row>
    <row r="1590" spans="1:2" x14ac:dyDescent="0.3">
      <c r="A1590" s="114"/>
      <c r="B1590" s="114"/>
    </row>
    <row r="1591" spans="1:2" x14ac:dyDescent="0.3">
      <c r="A1591" s="114"/>
      <c r="B1591" s="114"/>
    </row>
    <row r="1592" spans="1:2" x14ac:dyDescent="0.3">
      <c r="A1592" s="114"/>
      <c r="B1592" s="114"/>
    </row>
    <row r="1593" spans="1:2" x14ac:dyDescent="0.3">
      <c r="A1593" s="114"/>
      <c r="B1593" s="114"/>
    </row>
    <row r="1594" spans="1:2" x14ac:dyDescent="0.3">
      <c r="A1594" s="114"/>
      <c r="B1594" s="114"/>
    </row>
    <row r="1595" spans="1:2" x14ac:dyDescent="0.3">
      <c r="A1595" s="114"/>
      <c r="B1595" s="114"/>
    </row>
    <row r="1596" spans="1:2" x14ac:dyDescent="0.3">
      <c r="A1596" s="114"/>
      <c r="B1596" s="114"/>
    </row>
    <row r="1597" spans="1:2" x14ac:dyDescent="0.3">
      <c r="A1597" s="114"/>
      <c r="B1597" s="114"/>
    </row>
    <row r="1598" spans="1:2" x14ac:dyDescent="0.3">
      <c r="A1598" s="114"/>
      <c r="B1598" s="114"/>
    </row>
    <row r="1599" spans="1:2" x14ac:dyDescent="0.3">
      <c r="A1599" s="114"/>
      <c r="B1599" s="114"/>
    </row>
    <row r="1600" spans="1:2" x14ac:dyDescent="0.3">
      <c r="A1600" s="114"/>
      <c r="B1600" s="114"/>
    </row>
    <row r="1601" spans="1:2" x14ac:dyDescent="0.3">
      <c r="A1601" s="114"/>
      <c r="B1601" s="114"/>
    </row>
    <row r="1602" spans="1:2" x14ac:dyDescent="0.3">
      <c r="A1602" s="114"/>
      <c r="B1602" s="114"/>
    </row>
    <row r="1603" spans="1:2" x14ac:dyDescent="0.3">
      <c r="A1603" s="114"/>
      <c r="B1603" s="114"/>
    </row>
    <row r="1604" spans="1:2" x14ac:dyDescent="0.3">
      <c r="A1604" s="114"/>
      <c r="B1604" s="114"/>
    </row>
    <row r="1605" spans="1:2" x14ac:dyDescent="0.3">
      <c r="A1605" s="114"/>
      <c r="B1605" s="114"/>
    </row>
    <row r="1606" spans="1:2" x14ac:dyDescent="0.3">
      <c r="A1606" s="114"/>
      <c r="B1606" s="114"/>
    </row>
    <row r="1607" spans="1:2" x14ac:dyDescent="0.3">
      <c r="A1607" s="114"/>
      <c r="B1607" s="114"/>
    </row>
    <row r="1608" spans="1:2" x14ac:dyDescent="0.3">
      <c r="A1608" s="114"/>
      <c r="B1608" s="114"/>
    </row>
    <row r="1609" spans="1:2" x14ac:dyDescent="0.3">
      <c r="A1609" s="114"/>
      <c r="B1609" s="114"/>
    </row>
    <row r="1610" spans="1:2" x14ac:dyDescent="0.3">
      <c r="A1610" s="114"/>
      <c r="B1610" s="114"/>
    </row>
    <row r="1611" spans="1:2" x14ac:dyDescent="0.3">
      <c r="A1611" s="114"/>
      <c r="B1611" s="114"/>
    </row>
    <row r="1612" spans="1:2" x14ac:dyDescent="0.3">
      <c r="A1612" s="114"/>
      <c r="B1612" s="114"/>
    </row>
    <row r="1613" spans="1:2" x14ac:dyDescent="0.3">
      <c r="A1613" s="114"/>
      <c r="B1613" s="114"/>
    </row>
    <row r="1614" spans="1:2" x14ac:dyDescent="0.3">
      <c r="A1614" s="114"/>
      <c r="B1614" s="114"/>
    </row>
    <row r="1615" spans="1:2" x14ac:dyDescent="0.3">
      <c r="A1615" s="114"/>
      <c r="B1615" s="114"/>
    </row>
    <row r="1616" spans="1:2" x14ac:dyDescent="0.3">
      <c r="A1616" s="114"/>
      <c r="B1616" s="114"/>
    </row>
    <row r="1617" spans="1:2" x14ac:dyDescent="0.3">
      <c r="A1617" s="114"/>
      <c r="B1617" s="114"/>
    </row>
    <row r="1618" spans="1:2" x14ac:dyDescent="0.3">
      <c r="A1618" s="114"/>
      <c r="B1618" s="114"/>
    </row>
    <row r="1619" spans="1:2" x14ac:dyDescent="0.3">
      <c r="A1619" s="114"/>
      <c r="B1619" s="114"/>
    </row>
    <row r="1620" spans="1:2" x14ac:dyDescent="0.3">
      <c r="A1620" s="114"/>
      <c r="B1620" s="114"/>
    </row>
    <row r="1621" spans="1:2" x14ac:dyDescent="0.3">
      <c r="A1621" s="114"/>
      <c r="B1621" s="114"/>
    </row>
    <row r="1622" spans="1:2" x14ac:dyDescent="0.3">
      <c r="A1622" s="114"/>
      <c r="B1622" s="114"/>
    </row>
    <row r="1623" spans="1:2" x14ac:dyDescent="0.3">
      <c r="A1623" s="114"/>
      <c r="B1623" s="114"/>
    </row>
    <row r="1624" spans="1:2" x14ac:dyDescent="0.3">
      <c r="A1624" s="114"/>
      <c r="B1624" s="114"/>
    </row>
    <row r="1625" spans="1:2" x14ac:dyDescent="0.3">
      <c r="A1625" s="114"/>
      <c r="B1625" s="114"/>
    </row>
    <row r="1626" spans="1:2" x14ac:dyDescent="0.3">
      <c r="A1626" s="114"/>
      <c r="B1626" s="114"/>
    </row>
    <row r="1627" spans="1:2" x14ac:dyDescent="0.3">
      <c r="A1627" s="114"/>
      <c r="B1627" s="114"/>
    </row>
    <row r="1628" spans="1:2" x14ac:dyDescent="0.3">
      <c r="A1628" s="114"/>
      <c r="B1628" s="114"/>
    </row>
    <row r="1629" spans="1:2" x14ac:dyDescent="0.3">
      <c r="A1629" s="114"/>
      <c r="B1629" s="114"/>
    </row>
    <row r="1630" spans="1:2" x14ac:dyDescent="0.3">
      <c r="A1630" s="114"/>
      <c r="B1630" s="114"/>
    </row>
    <row r="1631" spans="1:2" x14ac:dyDescent="0.3">
      <c r="A1631" s="114"/>
      <c r="B1631" s="114"/>
    </row>
    <row r="1632" spans="1:2" x14ac:dyDescent="0.3">
      <c r="A1632" s="114"/>
      <c r="B1632" s="114"/>
    </row>
    <row r="1633" spans="1:2" x14ac:dyDescent="0.3">
      <c r="A1633" s="114"/>
      <c r="B1633" s="114"/>
    </row>
    <row r="1634" spans="1:2" x14ac:dyDescent="0.3">
      <c r="A1634" s="114"/>
      <c r="B1634" s="114"/>
    </row>
    <row r="1635" spans="1:2" x14ac:dyDescent="0.3">
      <c r="A1635" s="114"/>
      <c r="B1635" s="114"/>
    </row>
    <row r="1636" spans="1:2" x14ac:dyDescent="0.3">
      <c r="A1636" s="114"/>
      <c r="B1636" s="114"/>
    </row>
    <row r="1637" spans="1:2" x14ac:dyDescent="0.3">
      <c r="A1637" s="114"/>
      <c r="B1637" s="114"/>
    </row>
    <row r="1638" spans="1:2" x14ac:dyDescent="0.3">
      <c r="A1638" s="114"/>
      <c r="B1638" s="114"/>
    </row>
    <row r="1639" spans="1:2" x14ac:dyDescent="0.3">
      <c r="A1639" s="114"/>
      <c r="B1639" s="114"/>
    </row>
    <row r="1640" spans="1:2" x14ac:dyDescent="0.3">
      <c r="A1640" s="114"/>
      <c r="B1640" s="114"/>
    </row>
    <row r="1641" spans="1:2" x14ac:dyDescent="0.3">
      <c r="A1641" s="114"/>
      <c r="B1641" s="114"/>
    </row>
    <row r="1642" spans="1:2" x14ac:dyDescent="0.3">
      <c r="A1642" s="114"/>
      <c r="B1642" s="114"/>
    </row>
    <row r="1643" spans="1:2" x14ac:dyDescent="0.3">
      <c r="A1643" s="114"/>
      <c r="B1643" s="114"/>
    </row>
    <row r="1644" spans="1:2" x14ac:dyDescent="0.3">
      <c r="A1644" s="114"/>
      <c r="B1644" s="114"/>
    </row>
    <row r="1645" spans="1:2" x14ac:dyDescent="0.3">
      <c r="A1645" s="114"/>
      <c r="B1645" s="114"/>
    </row>
    <row r="1646" spans="1:2" x14ac:dyDescent="0.3">
      <c r="A1646" s="114"/>
      <c r="B1646" s="114"/>
    </row>
    <row r="1647" spans="1:2" x14ac:dyDescent="0.3">
      <c r="A1647" s="114"/>
      <c r="B1647" s="114"/>
    </row>
    <row r="1648" spans="1:2" x14ac:dyDescent="0.3">
      <c r="A1648" s="114"/>
      <c r="B1648" s="114"/>
    </row>
    <row r="1649" spans="1:2" x14ac:dyDescent="0.3">
      <c r="A1649" s="114"/>
      <c r="B1649" s="114"/>
    </row>
    <row r="1650" spans="1:2" x14ac:dyDescent="0.3">
      <c r="A1650" s="114"/>
      <c r="B1650" s="114"/>
    </row>
    <row r="1651" spans="1:2" x14ac:dyDescent="0.3">
      <c r="A1651" s="114"/>
      <c r="B1651" s="114"/>
    </row>
    <row r="1652" spans="1:2" x14ac:dyDescent="0.3">
      <c r="A1652" s="114"/>
      <c r="B1652" s="114"/>
    </row>
    <row r="1653" spans="1:2" x14ac:dyDescent="0.3">
      <c r="A1653" s="114"/>
      <c r="B1653" s="114"/>
    </row>
    <row r="1654" spans="1:2" x14ac:dyDescent="0.3">
      <c r="A1654" s="114"/>
      <c r="B1654" s="114"/>
    </row>
    <row r="1655" spans="1:2" x14ac:dyDescent="0.3">
      <c r="A1655" s="114"/>
      <c r="B1655" s="114"/>
    </row>
    <row r="1656" spans="1:2" x14ac:dyDescent="0.3">
      <c r="A1656" s="114"/>
      <c r="B1656" s="114"/>
    </row>
    <row r="1657" spans="1:2" x14ac:dyDescent="0.3">
      <c r="A1657" s="114"/>
      <c r="B1657" s="114"/>
    </row>
    <row r="1658" spans="1:2" x14ac:dyDescent="0.3">
      <c r="A1658" s="114"/>
      <c r="B1658" s="114"/>
    </row>
    <row r="1659" spans="1:2" x14ac:dyDescent="0.3">
      <c r="A1659" s="114"/>
      <c r="B1659" s="114"/>
    </row>
    <row r="1660" spans="1:2" x14ac:dyDescent="0.3">
      <c r="A1660" s="114"/>
      <c r="B1660" s="114"/>
    </row>
    <row r="1661" spans="1:2" x14ac:dyDescent="0.3">
      <c r="A1661" s="114"/>
      <c r="B1661" s="114"/>
    </row>
    <row r="1662" spans="1:2" x14ac:dyDescent="0.3">
      <c r="A1662" s="114"/>
      <c r="B1662" s="114"/>
    </row>
    <row r="1663" spans="1:2" x14ac:dyDescent="0.3">
      <c r="A1663" s="114"/>
      <c r="B1663" s="114"/>
    </row>
    <row r="1664" spans="1:2" x14ac:dyDescent="0.3">
      <c r="A1664" s="114"/>
      <c r="B1664" s="114"/>
    </row>
    <row r="1665" spans="1:2" x14ac:dyDescent="0.3">
      <c r="A1665" s="114"/>
      <c r="B1665" s="114"/>
    </row>
    <row r="1666" spans="1:2" x14ac:dyDescent="0.3">
      <c r="A1666" s="114"/>
      <c r="B1666" s="114"/>
    </row>
    <row r="1667" spans="1:2" x14ac:dyDescent="0.3">
      <c r="A1667" s="114"/>
      <c r="B1667" s="114"/>
    </row>
    <row r="1668" spans="1:2" x14ac:dyDescent="0.3">
      <c r="A1668" s="114"/>
      <c r="B1668" s="114"/>
    </row>
    <row r="1669" spans="1:2" x14ac:dyDescent="0.3">
      <c r="A1669" s="114"/>
      <c r="B1669" s="114"/>
    </row>
    <row r="1670" spans="1:2" x14ac:dyDescent="0.3">
      <c r="A1670" s="114"/>
      <c r="B1670" s="114"/>
    </row>
    <row r="1671" spans="1:2" x14ac:dyDescent="0.3">
      <c r="A1671" s="114"/>
      <c r="B1671" s="114"/>
    </row>
    <row r="1672" spans="1:2" x14ac:dyDescent="0.3">
      <c r="A1672" s="114"/>
      <c r="B1672" s="114"/>
    </row>
    <row r="1673" spans="1:2" x14ac:dyDescent="0.3">
      <c r="A1673" s="114"/>
      <c r="B1673" s="114"/>
    </row>
    <row r="1674" spans="1:2" x14ac:dyDescent="0.3">
      <c r="A1674" s="114"/>
      <c r="B1674" s="114"/>
    </row>
    <row r="1675" spans="1:2" x14ac:dyDescent="0.3">
      <c r="A1675" s="114"/>
      <c r="B1675" s="114"/>
    </row>
    <row r="1676" spans="1:2" x14ac:dyDescent="0.3">
      <c r="A1676" s="114"/>
      <c r="B1676" s="114"/>
    </row>
    <row r="1677" spans="1:2" x14ac:dyDescent="0.3">
      <c r="A1677" s="114"/>
      <c r="B1677" s="114"/>
    </row>
    <row r="1678" spans="1:2" x14ac:dyDescent="0.3">
      <c r="A1678" s="114"/>
      <c r="B1678" s="114"/>
    </row>
    <row r="1679" spans="1:2" x14ac:dyDescent="0.3">
      <c r="A1679" s="114"/>
      <c r="B1679" s="114"/>
    </row>
    <row r="1680" spans="1:2" x14ac:dyDescent="0.3">
      <c r="A1680" s="114"/>
      <c r="B1680" s="114"/>
    </row>
    <row r="1681" spans="1:2" x14ac:dyDescent="0.3">
      <c r="A1681" s="114"/>
      <c r="B1681" s="114"/>
    </row>
    <row r="1682" spans="1:2" x14ac:dyDescent="0.3">
      <c r="A1682" s="114"/>
      <c r="B1682" s="114"/>
    </row>
    <row r="1683" spans="1:2" x14ac:dyDescent="0.3">
      <c r="A1683" s="114"/>
      <c r="B1683" s="114"/>
    </row>
    <row r="1684" spans="1:2" x14ac:dyDescent="0.3">
      <c r="A1684" s="114"/>
      <c r="B1684" s="114"/>
    </row>
    <row r="1685" spans="1:2" x14ac:dyDescent="0.3">
      <c r="A1685" s="114"/>
      <c r="B1685" s="114"/>
    </row>
    <row r="1686" spans="1:2" x14ac:dyDescent="0.3">
      <c r="A1686" s="114"/>
      <c r="B1686" s="114"/>
    </row>
    <row r="1687" spans="1:2" x14ac:dyDescent="0.3">
      <c r="A1687" s="114"/>
      <c r="B1687" s="114"/>
    </row>
    <row r="1688" spans="1:2" x14ac:dyDescent="0.3">
      <c r="A1688" s="114"/>
      <c r="B1688" s="114"/>
    </row>
    <row r="1689" spans="1:2" x14ac:dyDescent="0.3">
      <c r="A1689" s="114"/>
      <c r="B1689" s="114"/>
    </row>
    <row r="1690" spans="1:2" x14ac:dyDescent="0.3">
      <c r="A1690" s="114"/>
      <c r="B1690" s="114"/>
    </row>
    <row r="1691" spans="1:2" x14ac:dyDescent="0.3">
      <c r="A1691" s="114"/>
      <c r="B1691" s="114"/>
    </row>
    <row r="1692" spans="1:2" x14ac:dyDescent="0.3">
      <c r="A1692" s="114"/>
      <c r="B1692" s="114"/>
    </row>
    <row r="1693" spans="1:2" x14ac:dyDescent="0.3">
      <c r="A1693" s="114"/>
      <c r="B1693" s="114"/>
    </row>
    <row r="1694" spans="1:2" x14ac:dyDescent="0.3">
      <c r="A1694" s="114"/>
      <c r="B1694" s="114"/>
    </row>
    <row r="1695" spans="1:2" x14ac:dyDescent="0.3">
      <c r="A1695" s="114"/>
      <c r="B1695" s="114"/>
    </row>
    <row r="1696" spans="1:2" x14ac:dyDescent="0.3">
      <c r="A1696" s="114"/>
      <c r="B1696" s="114"/>
    </row>
    <row r="1697" spans="1:2" x14ac:dyDescent="0.3">
      <c r="A1697" s="114"/>
      <c r="B1697" s="114"/>
    </row>
    <row r="1698" spans="1:2" x14ac:dyDescent="0.3">
      <c r="A1698" s="114"/>
      <c r="B1698" s="114"/>
    </row>
    <row r="1699" spans="1:2" x14ac:dyDescent="0.3">
      <c r="A1699" s="114"/>
      <c r="B1699" s="114"/>
    </row>
    <row r="1700" spans="1:2" x14ac:dyDescent="0.3">
      <c r="A1700" s="114"/>
      <c r="B1700" s="114"/>
    </row>
    <row r="1701" spans="1:2" x14ac:dyDescent="0.3">
      <c r="A1701" s="114"/>
      <c r="B1701" s="114"/>
    </row>
    <row r="1702" spans="1:2" x14ac:dyDescent="0.3">
      <c r="A1702" s="114"/>
      <c r="B1702" s="114"/>
    </row>
    <row r="1703" spans="1:2" x14ac:dyDescent="0.3">
      <c r="A1703" s="114"/>
      <c r="B1703" s="114"/>
    </row>
    <row r="1704" spans="1:2" x14ac:dyDescent="0.3">
      <c r="A1704" s="114"/>
      <c r="B1704" s="114"/>
    </row>
    <row r="1705" spans="1:2" x14ac:dyDescent="0.3">
      <c r="A1705" s="114"/>
      <c r="B1705" s="114"/>
    </row>
    <row r="1706" spans="1:2" x14ac:dyDescent="0.3">
      <c r="A1706" s="114"/>
      <c r="B1706" s="114"/>
    </row>
    <row r="1707" spans="1:2" x14ac:dyDescent="0.3">
      <c r="A1707" s="114"/>
      <c r="B1707" s="114"/>
    </row>
    <row r="1708" spans="1:2" x14ac:dyDescent="0.3">
      <c r="A1708" s="114"/>
      <c r="B1708" s="114"/>
    </row>
    <row r="1709" spans="1:2" x14ac:dyDescent="0.3">
      <c r="A1709" s="114"/>
      <c r="B1709" s="114"/>
    </row>
    <row r="1710" spans="1:2" x14ac:dyDescent="0.3">
      <c r="A1710" s="114"/>
      <c r="B1710" s="114"/>
    </row>
    <row r="1711" spans="1:2" x14ac:dyDescent="0.3">
      <c r="A1711" s="114"/>
      <c r="B1711" s="114"/>
    </row>
    <row r="1712" spans="1:2" x14ac:dyDescent="0.3">
      <c r="A1712" s="114"/>
      <c r="B1712" s="114"/>
    </row>
    <row r="1713" spans="1:2" x14ac:dyDescent="0.3">
      <c r="A1713" s="114"/>
      <c r="B1713" s="114"/>
    </row>
    <row r="1714" spans="1:2" x14ac:dyDescent="0.3">
      <c r="A1714" s="114"/>
      <c r="B1714" s="114"/>
    </row>
    <row r="1715" spans="1:2" x14ac:dyDescent="0.3">
      <c r="A1715" s="114"/>
      <c r="B1715" s="114"/>
    </row>
    <row r="1716" spans="1:2" x14ac:dyDescent="0.3">
      <c r="A1716" s="114"/>
      <c r="B1716" s="114"/>
    </row>
    <row r="1717" spans="1:2" x14ac:dyDescent="0.3">
      <c r="A1717" s="114"/>
      <c r="B1717" s="114"/>
    </row>
    <row r="1718" spans="1:2" x14ac:dyDescent="0.3">
      <c r="A1718" s="114"/>
      <c r="B1718" s="114"/>
    </row>
    <row r="1719" spans="1:2" x14ac:dyDescent="0.3">
      <c r="A1719" s="114"/>
      <c r="B1719" s="114"/>
    </row>
    <row r="1720" spans="1:2" x14ac:dyDescent="0.3">
      <c r="A1720" s="114"/>
      <c r="B1720" s="114"/>
    </row>
    <row r="1721" spans="1:2" x14ac:dyDescent="0.3">
      <c r="A1721" s="114"/>
      <c r="B1721" s="114"/>
    </row>
    <row r="1722" spans="1:2" x14ac:dyDescent="0.3">
      <c r="A1722" s="114"/>
      <c r="B1722" s="114"/>
    </row>
    <row r="1723" spans="1:2" x14ac:dyDescent="0.3">
      <c r="A1723" s="114"/>
      <c r="B1723" s="114"/>
    </row>
    <row r="1724" spans="1:2" x14ac:dyDescent="0.3">
      <c r="A1724" s="114"/>
      <c r="B1724" s="114"/>
    </row>
    <row r="1725" spans="1:2" x14ac:dyDescent="0.3">
      <c r="A1725" s="114"/>
      <c r="B1725" s="114"/>
    </row>
    <row r="1726" spans="1:2" x14ac:dyDescent="0.3">
      <c r="A1726" s="114"/>
      <c r="B1726" s="114"/>
    </row>
    <row r="1727" spans="1:2" x14ac:dyDescent="0.3">
      <c r="A1727" s="114"/>
      <c r="B1727" s="114"/>
    </row>
    <row r="1728" spans="1:2" x14ac:dyDescent="0.3">
      <c r="A1728" s="114"/>
      <c r="B1728" s="114"/>
    </row>
    <row r="1729" spans="1:2" x14ac:dyDescent="0.3">
      <c r="A1729" s="114"/>
      <c r="B1729" s="114"/>
    </row>
    <row r="1730" spans="1:2" x14ac:dyDescent="0.3">
      <c r="A1730" s="114"/>
      <c r="B1730" s="114"/>
    </row>
    <row r="1731" spans="1:2" x14ac:dyDescent="0.3">
      <c r="A1731" s="114"/>
      <c r="B1731" s="114"/>
    </row>
    <row r="1732" spans="1:2" x14ac:dyDescent="0.3">
      <c r="A1732" s="114"/>
      <c r="B1732" s="114"/>
    </row>
    <row r="1733" spans="1:2" x14ac:dyDescent="0.3">
      <c r="A1733" s="114"/>
      <c r="B1733" s="114"/>
    </row>
    <row r="1734" spans="1:2" x14ac:dyDescent="0.3">
      <c r="A1734" s="114"/>
      <c r="B1734" s="114"/>
    </row>
    <row r="1735" spans="1:2" x14ac:dyDescent="0.3">
      <c r="A1735" s="114"/>
      <c r="B1735" s="114"/>
    </row>
    <row r="1736" spans="1:2" x14ac:dyDescent="0.3">
      <c r="A1736" s="114"/>
      <c r="B1736" s="114"/>
    </row>
    <row r="1737" spans="1:2" x14ac:dyDescent="0.3">
      <c r="A1737" s="114"/>
      <c r="B1737" s="114"/>
    </row>
    <row r="1738" spans="1:2" x14ac:dyDescent="0.3">
      <c r="A1738" s="114"/>
      <c r="B1738" s="114"/>
    </row>
    <row r="1739" spans="1:2" x14ac:dyDescent="0.3">
      <c r="A1739" s="114"/>
      <c r="B1739" s="114"/>
    </row>
    <row r="1740" spans="1:2" x14ac:dyDescent="0.3">
      <c r="A1740" s="114"/>
      <c r="B1740" s="114"/>
    </row>
    <row r="1741" spans="1:2" x14ac:dyDescent="0.3">
      <c r="A1741" s="114"/>
      <c r="B1741" s="114"/>
    </row>
    <row r="1742" spans="1:2" x14ac:dyDescent="0.3">
      <c r="A1742" s="114"/>
      <c r="B1742" s="114"/>
    </row>
    <row r="1743" spans="1:2" x14ac:dyDescent="0.3">
      <c r="A1743" s="114"/>
      <c r="B1743" s="114"/>
    </row>
    <row r="1744" spans="1:2" x14ac:dyDescent="0.3">
      <c r="A1744" s="114"/>
      <c r="B1744" s="114"/>
    </row>
    <row r="1745" spans="1:2" x14ac:dyDescent="0.3">
      <c r="A1745" s="114"/>
      <c r="B1745" s="114"/>
    </row>
    <row r="1746" spans="1:2" x14ac:dyDescent="0.3">
      <c r="A1746" s="114"/>
      <c r="B1746" s="114"/>
    </row>
    <row r="1747" spans="1:2" x14ac:dyDescent="0.3">
      <c r="A1747" s="114"/>
      <c r="B1747" s="114"/>
    </row>
    <row r="1748" spans="1:2" x14ac:dyDescent="0.3">
      <c r="A1748" s="114"/>
      <c r="B1748" s="114"/>
    </row>
    <row r="1749" spans="1:2" x14ac:dyDescent="0.3">
      <c r="A1749" s="114"/>
      <c r="B1749" s="114"/>
    </row>
    <row r="1750" spans="1:2" x14ac:dyDescent="0.3">
      <c r="A1750" s="114"/>
      <c r="B1750" s="114"/>
    </row>
    <row r="1751" spans="1:2" x14ac:dyDescent="0.3">
      <c r="A1751" s="114"/>
      <c r="B1751" s="114"/>
    </row>
    <row r="1752" spans="1:2" x14ac:dyDescent="0.3">
      <c r="A1752" s="114"/>
      <c r="B1752" s="114"/>
    </row>
    <row r="1753" spans="1:2" x14ac:dyDescent="0.3">
      <c r="A1753" s="114"/>
      <c r="B1753" s="114"/>
    </row>
    <row r="1754" spans="1:2" x14ac:dyDescent="0.3">
      <c r="A1754" s="114"/>
      <c r="B1754" s="114"/>
    </row>
    <row r="1755" spans="1:2" x14ac:dyDescent="0.3">
      <c r="A1755" s="114"/>
      <c r="B1755" s="114"/>
    </row>
    <row r="1756" spans="1:2" x14ac:dyDescent="0.3">
      <c r="A1756" s="114"/>
      <c r="B1756" s="114"/>
    </row>
    <row r="1757" spans="1:2" x14ac:dyDescent="0.3">
      <c r="A1757" s="114"/>
      <c r="B1757" s="114"/>
    </row>
    <row r="1758" spans="1:2" x14ac:dyDescent="0.3">
      <c r="A1758" s="114"/>
      <c r="B1758" s="114"/>
    </row>
    <row r="1759" spans="1:2" x14ac:dyDescent="0.3">
      <c r="A1759" s="114"/>
      <c r="B1759" s="114"/>
    </row>
    <row r="1760" spans="1:2" x14ac:dyDescent="0.3">
      <c r="A1760" s="114"/>
      <c r="B1760" s="114"/>
    </row>
    <row r="1761" spans="1:2" x14ac:dyDescent="0.3">
      <c r="A1761" s="114"/>
      <c r="B1761" s="114"/>
    </row>
    <row r="1762" spans="1:2" x14ac:dyDescent="0.3">
      <c r="A1762" s="114"/>
      <c r="B1762" s="114"/>
    </row>
    <row r="1763" spans="1:2" x14ac:dyDescent="0.3">
      <c r="A1763" s="114"/>
      <c r="B1763" s="114"/>
    </row>
    <row r="1764" spans="1:2" x14ac:dyDescent="0.3">
      <c r="A1764" s="114"/>
      <c r="B1764" s="114"/>
    </row>
    <row r="1765" spans="1:2" x14ac:dyDescent="0.3">
      <c r="A1765" s="114"/>
      <c r="B1765" s="114"/>
    </row>
    <row r="1766" spans="1:2" x14ac:dyDescent="0.3">
      <c r="A1766" s="114"/>
      <c r="B1766" s="114"/>
    </row>
    <row r="1767" spans="1:2" x14ac:dyDescent="0.3">
      <c r="A1767" s="114"/>
      <c r="B1767" s="114"/>
    </row>
    <row r="1768" spans="1:2" x14ac:dyDescent="0.3">
      <c r="A1768" s="114"/>
      <c r="B1768" s="114"/>
    </row>
    <row r="1769" spans="1:2" x14ac:dyDescent="0.3">
      <c r="A1769" s="114"/>
      <c r="B1769" s="114"/>
    </row>
    <row r="1770" spans="1:2" x14ac:dyDescent="0.3">
      <c r="A1770" s="114"/>
      <c r="B1770" s="114"/>
    </row>
    <row r="1771" spans="1:2" x14ac:dyDescent="0.3">
      <c r="A1771" s="114"/>
      <c r="B1771" s="114"/>
    </row>
    <row r="1772" spans="1:2" x14ac:dyDescent="0.3">
      <c r="A1772" s="114"/>
      <c r="B1772" s="114"/>
    </row>
    <row r="1773" spans="1:2" x14ac:dyDescent="0.3">
      <c r="A1773" s="114"/>
      <c r="B1773" s="114"/>
    </row>
    <row r="1774" spans="1:2" x14ac:dyDescent="0.3">
      <c r="A1774" s="114"/>
      <c r="B1774" s="114"/>
    </row>
    <row r="1775" spans="1:2" x14ac:dyDescent="0.3">
      <c r="A1775" s="114"/>
      <c r="B1775" s="114"/>
    </row>
    <row r="1776" spans="1:2" x14ac:dyDescent="0.3">
      <c r="A1776" s="114"/>
      <c r="B1776" s="114"/>
    </row>
    <row r="1777" spans="1:2" x14ac:dyDescent="0.3">
      <c r="A1777" s="114"/>
      <c r="B1777" s="114"/>
    </row>
    <row r="1778" spans="1:2" x14ac:dyDescent="0.3">
      <c r="A1778" s="114"/>
      <c r="B1778" s="114"/>
    </row>
    <row r="1779" spans="1:2" x14ac:dyDescent="0.3">
      <c r="A1779" s="114"/>
      <c r="B1779" s="114"/>
    </row>
    <row r="1780" spans="1:2" x14ac:dyDescent="0.3">
      <c r="A1780" s="114"/>
      <c r="B1780" s="114"/>
    </row>
    <row r="1781" spans="1:2" x14ac:dyDescent="0.3">
      <c r="A1781" s="114"/>
      <c r="B1781" s="114"/>
    </row>
    <row r="1782" spans="1:2" x14ac:dyDescent="0.3">
      <c r="A1782" s="114"/>
      <c r="B1782" s="114"/>
    </row>
    <row r="1783" spans="1:2" x14ac:dyDescent="0.3">
      <c r="A1783" s="114"/>
      <c r="B1783" s="114"/>
    </row>
    <row r="1784" spans="1:2" x14ac:dyDescent="0.3">
      <c r="A1784" s="114"/>
      <c r="B1784" s="114"/>
    </row>
    <row r="1785" spans="1:2" x14ac:dyDescent="0.3">
      <c r="A1785" s="114"/>
      <c r="B1785" s="114"/>
    </row>
    <row r="1786" spans="1:2" x14ac:dyDescent="0.3">
      <c r="A1786" s="114"/>
      <c r="B1786" s="114"/>
    </row>
    <row r="1787" spans="1:2" x14ac:dyDescent="0.3">
      <c r="A1787" s="114"/>
      <c r="B1787" s="114"/>
    </row>
    <row r="1788" spans="1:2" x14ac:dyDescent="0.3">
      <c r="A1788" s="114"/>
      <c r="B1788" s="114"/>
    </row>
    <row r="1789" spans="1:2" x14ac:dyDescent="0.3">
      <c r="A1789" s="114"/>
      <c r="B1789" s="114"/>
    </row>
    <row r="1790" spans="1:2" x14ac:dyDescent="0.3">
      <c r="A1790" s="114"/>
      <c r="B1790" s="114"/>
    </row>
    <row r="1791" spans="1:2" x14ac:dyDescent="0.3">
      <c r="A1791" s="114"/>
      <c r="B1791" s="114"/>
    </row>
    <row r="1792" spans="1:2" x14ac:dyDescent="0.3">
      <c r="A1792" s="114"/>
      <c r="B1792" s="114"/>
    </row>
    <row r="1793" spans="1:2" x14ac:dyDescent="0.3">
      <c r="A1793" s="114"/>
      <c r="B1793" s="114"/>
    </row>
    <row r="1794" spans="1:2" x14ac:dyDescent="0.3">
      <c r="A1794" s="114"/>
      <c r="B1794" s="114"/>
    </row>
    <row r="1795" spans="1:2" x14ac:dyDescent="0.3">
      <c r="A1795" s="114"/>
      <c r="B1795" s="114"/>
    </row>
    <row r="1796" spans="1:2" x14ac:dyDescent="0.3">
      <c r="A1796" s="114"/>
      <c r="B1796" s="114"/>
    </row>
    <row r="1797" spans="1:2" x14ac:dyDescent="0.3">
      <c r="A1797" s="114"/>
      <c r="B1797" s="114"/>
    </row>
    <row r="1798" spans="1:2" x14ac:dyDescent="0.3">
      <c r="A1798" s="114"/>
      <c r="B1798" s="114"/>
    </row>
    <row r="1799" spans="1:2" x14ac:dyDescent="0.3">
      <c r="A1799" s="114"/>
      <c r="B1799" s="114"/>
    </row>
    <row r="1800" spans="1:2" x14ac:dyDescent="0.3">
      <c r="A1800" s="114"/>
      <c r="B1800" s="114"/>
    </row>
    <row r="1801" spans="1:2" x14ac:dyDescent="0.3">
      <c r="A1801" s="114"/>
      <c r="B1801" s="114"/>
    </row>
    <row r="1802" spans="1:2" x14ac:dyDescent="0.3">
      <c r="A1802" s="114"/>
      <c r="B1802" s="114"/>
    </row>
    <row r="1803" spans="1:2" x14ac:dyDescent="0.3">
      <c r="A1803" s="114"/>
      <c r="B1803" s="114"/>
    </row>
    <row r="1804" spans="1:2" x14ac:dyDescent="0.3">
      <c r="A1804" s="114"/>
      <c r="B1804" s="114"/>
    </row>
    <row r="1805" spans="1:2" x14ac:dyDescent="0.3">
      <c r="A1805" s="114"/>
      <c r="B1805" s="114"/>
    </row>
    <row r="1806" spans="1:2" x14ac:dyDescent="0.3">
      <c r="A1806" s="114"/>
      <c r="B1806" s="114"/>
    </row>
    <row r="1807" spans="1:2" x14ac:dyDescent="0.3">
      <c r="A1807" s="114"/>
      <c r="B1807" s="114"/>
    </row>
    <row r="1808" spans="1:2" x14ac:dyDescent="0.3">
      <c r="A1808" s="114"/>
      <c r="B1808" s="114"/>
    </row>
    <row r="1809" spans="1:2" x14ac:dyDescent="0.3">
      <c r="A1809" s="114"/>
      <c r="B1809" s="114"/>
    </row>
    <row r="1810" spans="1:2" x14ac:dyDescent="0.3">
      <c r="A1810" s="114"/>
      <c r="B1810" s="114"/>
    </row>
    <row r="1811" spans="1:2" x14ac:dyDescent="0.3">
      <c r="A1811" s="114"/>
      <c r="B1811" s="114"/>
    </row>
    <row r="1812" spans="1:2" x14ac:dyDescent="0.3">
      <c r="A1812" s="114"/>
      <c r="B1812" s="114"/>
    </row>
    <row r="1813" spans="1:2" x14ac:dyDescent="0.3">
      <c r="A1813" s="114"/>
      <c r="B1813" s="114"/>
    </row>
    <row r="1814" spans="1:2" x14ac:dyDescent="0.3">
      <c r="A1814" s="114"/>
      <c r="B1814" s="114"/>
    </row>
    <row r="1815" spans="1:2" x14ac:dyDescent="0.3">
      <c r="A1815" s="114"/>
      <c r="B1815" s="114"/>
    </row>
    <row r="1816" spans="1:2" x14ac:dyDescent="0.3">
      <c r="A1816" s="114"/>
      <c r="B1816" s="114"/>
    </row>
    <row r="1817" spans="1:2" x14ac:dyDescent="0.3">
      <c r="A1817" s="114"/>
      <c r="B1817" s="114"/>
    </row>
    <row r="1818" spans="1:2" x14ac:dyDescent="0.3">
      <c r="A1818" s="114"/>
      <c r="B1818" s="114"/>
    </row>
    <row r="1819" spans="1:2" x14ac:dyDescent="0.3">
      <c r="A1819" s="114"/>
      <c r="B1819" s="114"/>
    </row>
    <row r="1820" spans="1:2" x14ac:dyDescent="0.3">
      <c r="A1820" s="114"/>
      <c r="B1820" s="114"/>
    </row>
    <row r="1821" spans="1:2" x14ac:dyDescent="0.3">
      <c r="A1821" s="114"/>
      <c r="B1821" s="114"/>
    </row>
    <row r="1822" spans="1:2" x14ac:dyDescent="0.3">
      <c r="A1822" s="114"/>
      <c r="B1822" s="114"/>
    </row>
    <row r="1823" spans="1:2" x14ac:dyDescent="0.3">
      <c r="A1823" s="114"/>
      <c r="B1823" s="114"/>
    </row>
    <row r="1824" spans="1:2" x14ac:dyDescent="0.3">
      <c r="A1824" s="114"/>
      <c r="B1824" s="114"/>
    </row>
    <row r="1825" spans="1:2" x14ac:dyDescent="0.3">
      <c r="A1825" s="114"/>
      <c r="B1825" s="114"/>
    </row>
    <row r="1826" spans="1:2" x14ac:dyDescent="0.3">
      <c r="A1826" s="114"/>
      <c r="B1826" s="114"/>
    </row>
    <row r="1827" spans="1:2" x14ac:dyDescent="0.3">
      <c r="A1827" s="114"/>
      <c r="B1827" s="114"/>
    </row>
    <row r="1828" spans="1:2" x14ac:dyDescent="0.3">
      <c r="A1828" s="114"/>
      <c r="B1828" s="114"/>
    </row>
    <row r="1829" spans="1:2" x14ac:dyDescent="0.3">
      <c r="A1829" s="114"/>
      <c r="B1829" s="114"/>
    </row>
    <row r="1830" spans="1:2" x14ac:dyDescent="0.3">
      <c r="A1830" s="114"/>
      <c r="B1830" s="114"/>
    </row>
    <row r="1831" spans="1:2" x14ac:dyDescent="0.3">
      <c r="A1831" s="114"/>
      <c r="B1831" s="114"/>
    </row>
    <row r="1832" spans="1:2" x14ac:dyDescent="0.3">
      <c r="A1832" s="114"/>
      <c r="B1832" s="114"/>
    </row>
    <row r="1833" spans="1:2" x14ac:dyDescent="0.3">
      <c r="A1833" s="114"/>
      <c r="B1833" s="114"/>
    </row>
    <row r="1834" spans="1:2" x14ac:dyDescent="0.3">
      <c r="A1834" s="114"/>
      <c r="B1834" s="114"/>
    </row>
    <row r="1835" spans="1:2" x14ac:dyDescent="0.3">
      <c r="A1835" s="114"/>
      <c r="B1835" s="114"/>
    </row>
    <row r="1836" spans="1:2" x14ac:dyDescent="0.3">
      <c r="A1836" s="114"/>
      <c r="B1836" s="114"/>
    </row>
    <row r="1837" spans="1:2" x14ac:dyDescent="0.3">
      <c r="A1837" s="114"/>
      <c r="B1837" s="114"/>
    </row>
    <row r="1838" spans="1:2" x14ac:dyDescent="0.3">
      <c r="A1838" s="114"/>
      <c r="B1838" s="114"/>
    </row>
    <row r="1839" spans="1:2" x14ac:dyDescent="0.3">
      <c r="A1839" s="114"/>
      <c r="B1839" s="114"/>
    </row>
    <row r="1840" spans="1:2" x14ac:dyDescent="0.3">
      <c r="A1840" s="114"/>
      <c r="B1840" s="114"/>
    </row>
    <row r="1841" spans="1:2" x14ac:dyDescent="0.3">
      <c r="A1841" s="114"/>
      <c r="B1841" s="114"/>
    </row>
    <row r="1842" spans="1:2" x14ac:dyDescent="0.3">
      <c r="A1842" s="114"/>
      <c r="B1842" s="114"/>
    </row>
    <row r="1843" spans="1:2" x14ac:dyDescent="0.3">
      <c r="A1843" s="114"/>
      <c r="B1843" s="114"/>
    </row>
    <row r="1844" spans="1:2" x14ac:dyDescent="0.3">
      <c r="A1844" s="114"/>
      <c r="B1844" s="114"/>
    </row>
    <row r="1845" spans="1:2" x14ac:dyDescent="0.3">
      <c r="A1845" s="114"/>
      <c r="B1845" s="114"/>
    </row>
    <row r="1846" spans="1:2" x14ac:dyDescent="0.3">
      <c r="A1846" s="114"/>
      <c r="B1846" s="114"/>
    </row>
    <row r="1847" spans="1:2" x14ac:dyDescent="0.3">
      <c r="A1847" s="114"/>
      <c r="B1847" s="114"/>
    </row>
    <row r="1848" spans="1:2" x14ac:dyDescent="0.3">
      <c r="A1848" s="114"/>
      <c r="B1848" s="114"/>
    </row>
    <row r="1849" spans="1:2" x14ac:dyDescent="0.3">
      <c r="A1849" s="114"/>
      <c r="B1849" s="114"/>
    </row>
    <row r="1850" spans="1:2" x14ac:dyDescent="0.3">
      <c r="A1850" s="114"/>
      <c r="B1850" s="114"/>
    </row>
    <row r="1851" spans="1:2" x14ac:dyDescent="0.3">
      <c r="A1851" s="114"/>
      <c r="B1851" s="114"/>
    </row>
    <row r="1852" spans="1:2" x14ac:dyDescent="0.3">
      <c r="A1852" s="114"/>
      <c r="B1852" s="114"/>
    </row>
    <row r="1853" spans="1:2" x14ac:dyDescent="0.3">
      <c r="A1853" s="114"/>
      <c r="B1853" s="114"/>
    </row>
    <row r="1854" spans="1:2" x14ac:dyDescent="0.3">
      <c r="A1854" s="114"/>
      <c r="B1854" s="114"/>
    </row>
    <row r="1855" spans="1:2" x14ac:dyDescent="0.3">
      <c r="A1855" s="114"/>
      <c r="B1855" s="114"/>
    </row>
    <row r="1856" spans="1:2" x14ac:dyDescent="0.3">
      <c r="A1856" s="114"/>
      <c r="B1856" s="114"/>
    </row>
    <row r="1857" spans="1:2" x14ac:dyDescent="0.3">
      <c r="A1857" s="114"/>
      <c r="B1857" s="114"/>
    </row>
    <row r="1858" spans="1:2" x14ac:dyDescent="0.3">
      <c r="A1858" s="114"/>
      <c r="B1858" s="114"/>
    </row>
    <row r="1859" spans="1:2" x14ac:dyDescent="0.3">
      <c r="A1859" s="114"/>
      <c r="B1859" s="114"/>
    </row>
    <row r="1860" spans="1:2" x14ac:dyDescent="0.3">
      <c r="A1860" s="114"/>
      <c r="B1860" s="114"/>
    </row>
    <row r="1861" spans="1:2" x14ac:dyDescent="0.3">
      <c r="A1861" s="114"/>
      <c r="B1861" s="114"/>
    </row>
    <row r="1862" spans="1:2" x14ac:dyDescent="0.3">
      <c r="A1862" s="114"/>
      <c r="B1862" s="114"/>
    </row>
    <row r="1863" spans="1:2" x14ac:dyDescent="0.3">
      <c r="A1863" s="114"/>
      <c r="B1863" s="114"/>
    </row>
    <row r="1864" spans="1:2" x14ac:dyDescent="0.3">
      <c r="A1864" s="114"/>
      <c r="B1864" s="114"/>
    </row>
    <row r="1865" spans="1:2" x14ac:dyDescent="0.3">
      <c r="A1865" s="114"/>
      <c r="B1865" s="114"/>
    </row>
    <row r="1866" spans="1:2" x14ac:dyDescent="0.3">
      <c r="A1866" s="114"/>
      <c r="B1866" s="114"/>
    </row>
    <row r="1867" spans="1:2" x14ac:dyDescent="0.3">
      <c r="A1867" s="114"/>
      <c r="B1867" s="114"/>
    </row>
    <row r="1868" spans="1:2" x14ac:dyDescent="0.3">
      <c r="A1868" s="114"/>
      <c r="B1868" s="114"/>
    </row>
    <row r="1869" spans="1:2" x14ac:dyDescent="0.3">
      <c r="A1869" s="114"/>
      <c r="B1869" s="114"/>
    </row>
    <row r="1870" spans="1:2" x14ac:dyDescent="0.3">
      <c r="A1870" s="114"/>
      <c r="B1870" s="114"/>
    </row>
    <row r="1871" spans="1:2" x14ac:dyDescent="0.3">
      <c r="A1871" s="114"/>
      <c r="B1871" s="114"/>
    </row>
    <row r="1872" spans="1:2" x14ac:dyDescent="0.3">
      <c r="A1872" s="114"/>
      <c r="B1872" s="114"/>
    </row>
    <row r="1873" spans="1:2" x14ac:dyDescent="0.3">
      <c r="A1873" s="114"/>
      <c r="B1873" s="114"/>
    </row>
    <row r="1874" spans="1:2" x14ac:dyDescent="0.3">
      <c r="A1874" s="114"/>
      <c r="B1874" s="114"/>
    </row>
    <row r="1875" spans="1:2" x14ac:dyDescent="0.3">
      <c r="A1875" s="114"/>
      <c r="B1875" s="114"/>
    </row>
    <row r="1876" spans="1:2" x14ac:dyDescent="0.3">
      <c r="A1876" s="114"/>
      <c r="B1876" s="114"/>
    </row>
    <row r="1877" spans="1:2" x14ac:dyDescent="0.3">
      <c r="A1877" s="114"/>
      <c r="B1877" s="114"/>
    </row>
    <row r="1878" spans="1:2" x14ac:dyDescent="0.3">
      <c r="A1878" s="114"/>
      <c r="B1878" s="114"/>
    </row>
    <row r="1879" spans="1:2" x14ac:dyDescent="0.3">
      <c r="A1879" s="114"/>
      <c r="B1879" s="114"/>
    </row>
    <row r="1880" spans="1:2" x14ac:dyDescent="0.3">
      <c r="A1880" s="114"/>
      <c r="B1880" s="114"/>
    </row>
    <row r="1881" spans="1:2" x14ac:dyDescent="0.3">
      <c r="A1881" s="114"/>
      <c r="B1881" s="114"/>
    </row>
    <row r="1882" spans="1:2" x14ac:dyDescent="0.3">
      <c r="A1882" s="114"/>
      <c r="B1882" s="114"/>
    </row>
    <row r="1883" spans="1:2" x14ac:dyDescent="0.3">
      <c r="A1883" s="114"/>
      <c r="B1883" s="114"/>
    </row>
    <row r="1884" spans="1:2" x14ac:dyDescent="0.3">
      <c r="A1884" s="114"/>
      <c r="B1884" s="114"/>
    </row>
    <row r="1885" spans="1:2" x14ac:dyDescent="0.3">
      <c r="A1885" s="114"/>
      <c r="B1885" s="114"/>
    </row>
    <row r="1886" spans="1:2" x14ac:dyDescent="0.3">
      <c r="A1886" s="114"/>
      <c r="B1886" s="114"/>
    </row>
    <row r="1887" spans="1:2" x14ac:dyDescent="0.3">
      <c r="A1887" s="114"/>
      <c r="B1887" s="114"/>
    </row>
    <row r="1888" spans="1:2" x14ac:dyDescent="0.3">
      <c r="A1888" s="114"/>
      <c r="B1888" s="114"/>
    </row>
    <row r="1889" spans="1:2" x14ac:dyDescent="0.3">
      <c r="A1889" s="114"/>
      <c r="B1889" s="114"/>
    </row>
    <row r="1890" spans="1:2" x14ac:dyDescent="0.3">
      <c r="A1890" s="114"/>
      <c r="B1890" s="114"/>
    </row>
    <row r="1891" spans="1:2" x14ac:dyDescent="0.3">
      <c r="A1891" s="114"/>
      <c r="B1891" s="114"/>
    </row>
    <row r="1892" spans="1:2" x14ac:dyDescent="0.3">
      <c r="A1892" s="114"/>
      <c r="B1892" s="114"/>
    </row>
    <row r="1893" spans="1:2" x14ac:dyDescent="0.3">
      <c r="A1893" s="114"/>
      <c r="B1893" s="114"/>
    </row>
    <row r="1894" spans="1:2" x14ac:dyDescent="0.3">
      <c r="A1894" s="114"/>
      <c r="B1894" s="114"/>
    </row>
    <row r="1895" spans="1:2" x14ac:dyDescent="0.3">
      <c r="A1895" s="114"/>
      <c r="B1895" s="114"/>
    </row>
    <row r="1896" spans="1:2" x14ac:dyDescent="0.3">
      <c r="A1896" s="114"/>
      <c r="B1896" s="114"/>
    </row>
    <row r="1897" spans="1:2" x14ac:dyDescent="0.3">
      <c r="A1897" s="114"/>
      <c r="B1897" s="114"/>
    </row>
    <row r="1898" spans="1:2" x14ac:dyDescent="0.3">
      <c r="A1898" s="114"/>
      <c r="B1898" s="114"/>
    </row>
    <row r="1899" spans="1:2" x14ac:dyDescent="0.3">
      <c r="A1899" s="114"/>
      <c r="B1899" s="114"/>
    </row>
    <row r="1900" spans="1:2" x14ac:dyDescent="0.3">
      <c r="A1900" s="114"/>
      <c r="B1900" s="114"/>
    </row>
    <row r="1901" spans="1:2" x14ac:dyDescent="0.3">
      <c r="A1901" s="114"/>
      <c r="B1901" s="114"/>
    </row>
    <row r="1902" spans="1:2" x14ac:dyDescent="0.3">
      <c r="A1902" s="114"/>
      <c r="B1902" s="114"/>
    </row>
    <row r="1903" spans="1:2" x14ac:dyDescent="0.3">
      <c r="A1903" s="114"/>
      <c r="B1903" s="114"/>
    </row>
    <row r="1904" spans="1:2" x14ac:dyDescent="0.3">
      <c r="A1904" s="114"/>
      <c r="B1904" s="114"/>
    </row>
    <row r="1905" spans="1:2" x14ac:dyDescent="0.3">
      <c r="A1905" s="114"/>
      <c r="B1905" s="114"/>
    </row>
    <row r="1906" spans="1:2" x14ac:dyDescent="0.3">
      <c r="A1906" s="114"/>
      <c r="B1906" s="114"/>
    </row>
    <row r="1907" spans="1:2" x14ac:dyDescent="0.3">
      <c r="A1907" s="114"/>
      <c r="B1907" s="114"/>
    </row>
    <row r="1908" spans="1:2" x14ac:dyDescent="0.3">
      <c r="A1908" s="114"/>
      <c r="B1908" s="114"/>
    </row>
    <row r="1909" spans="1:2" x14ac:dyDescent="0.3">
      <c r="A1909" s="114"/>
      <c r="B1909" s="114"/>
    </row>
    <row r="1910" spans="1:2" x14ac:dyDescent="0.3">
      <c r="A1910" s="114"/>
      <c r="B1910" s="114"/>
    </row>
    <row r="1911" spans="1:2" x14ac:dyDescent="0.3">
      <c r="A1911" s="114"/>
      <c r="B1911" s="114"/>
    </row>
    <row r="1912" spans="1:2" x14ac:dyDescent="0.3">
      <c r="A1912" s="114"/>
      <c r="B1912" s="114"/>
    </row>
    <row r="1913" spans="1:2" x14ac:dyDescent="0.3">
      <c r="A1913" s="114"/>
      <c r="B1913" s="114"/>
    </row>
    <row r="1914" spans="1:2" x14ac:dyDescent="0.3">
      <c r="A1914" s="114"/>
      <c r="B1914" s="114"/>
    </row>
    <row r="1915" spans="1:2" x14ac:dyDescent="0.3">
      <c r="A1915" s="114"/>
      <c r="B1915" s="114"/>
    </row>
    <row r="1916" spans="1:2" x14ac:dyDescent="0.3">
      <c r="A1916" s="114"/>
      <c r="B1916" s="114"/>
    </row>
    <row r="1917" spans="1:2" x14ac:dyDescent="0.3">
      <c r="A1917" s="114"/>
      <c r="B1917" s="114"/>
    </row>
    <row r="1918" spans="1:2" x14ac:dyDescent="0.3">
      <c r="A1918" s="114"/>
      <c r="B1918" s="114"/>
    </row>
    <row r="1919" spans="1:2" x14ac:dyDescent="0.3">
      <c r="A1919" s="114"/>
      <c r="B1919" s="114"/>
    </row>
    <row r="1920" spans="1:2" x14ac:dyDescent="0.3">
      <c r="A1920" s="114"/>
      <c r="B1920" s="114"/>
    </row>
    <row r="1921" spans="1:2" x14ac:dyDescent="0.3">
      <c r="A1921" s="114"/>
      <c r="B1921" s="114"/>
    </row>
    <row r="1922" spans="1:2" x14ac:dyDescent="0.3">
      <c r="A1922" s="114"/>
      <c r="B1922" s="114"/>
    </row>
    <row r="1923" spans="1:2" x14ac:dyDescent="0.3">
      <c r="A1923" s="114"/>
      <c r="B1923" s="114"/>
    </row>
    <row r="1924" spans="1:2" x14ac:dyDescent="0.3">
      <c r="A1924" s="114"/>
      <c r="B1924" s="114"/>
    </row>
    <row r="1925" spans="1:2" x14ac:dyDescent="0.3">
      <c r="A1925" s="114"/>
      <c r="B1925" s="114"/>
    </row>
    <row r="1926" spans="1:2" x14ac:dyDescent="0.3">
      <c r="A1926" s="114"/>
      <c r="B1926" s="114"/>
    </row>
    <row r="1927" spans="1:2" x14ac:dyDescent="0.3">
      <c r="A1927" s="114"/>
      <c r="B1927" s="114"/>
    </row>
    <row r="1928" spans="1:2" x14ac:dyDescent="0.3">
      <c r="A1928" s="114"/>
      <c r="B1928" s="114"/>
    </row>
    <row r="1929" spans="1:2" x14ac:dyDescent="0.3">
      <c r="A1929" s="114"/>
      <c r="B1929" s="114"/>
    </row>
    <row r="1930" spans="1:2" x14ac:dyDescent="0.3">
      <c r="A1930" s="114"/>
      <c r="B1930" s="114"/>
    </row>
    <row r="1931" spans="1:2" x14ac:dyDescent="0.3">
      <c r="A1931" s="114"/>
      <c r="B1931" s="114"/>
    </row>
    <row r="1932" spans="1:2" x14ac:dyDescent="0.3">
      <c r="A1932" s="114"/>
      <c r="B1932" s="114"/>
    </row>
    <row r="1933" spans="1:2" x14ac:dyDescent="0.3">
      <c r="A1933" s="114"/>
      <c r="B1933" s="114"/>
    </row>
    <row r="1934" spans="1:2" x14ac:dyDescent="0.3">
      <c r="A1934" s="114"/>
      <c r="B1934" s="114"/>
    </row>
    <row r="1935" spans="1:2" x14ac:dyDescent="0.3">
      <c r="A1935" s="114"/>
      <c r="B1935" s="114"/>
    </row>
    <row r="1936" spans="1:2" x14ac:dyDescent="0.3">
      <c r="A1936" s="114"/>
      <c r="B1936" s="114"/>
    </row>
    <row r="1937" spans="1:2" x14ac:dyDescent="0.3">
      <c r="A1937" s="114"/>
      <c r="B1937" s="114"/>
    </row>
    <row r="1938" spans="1:2" x14ac:dyDescent="0.3">
      <c r="A1938" s="114"/>
      <c r="B1938" s="114"/>
    </row>
    <row r="1939" spans="1:2" x14ac:dyDescent="0.3">
      <c r="A1939" s="114"/>
      <c r="B1939" s="114"/>
    </row>
    <row r="1940" spans="1:2" x14ac:dyDescent="0.3">
      <c r="A1940" s="114"/>
      <c r="B1940" s="114"/>
    </row>
    <row r="1941" spans="1:2" x14ac:dyDescent="0.3">
      <c r="A1941" s="114"/>
      <c r="B1941" s="114"/>
    </row>
    <row r="1942" spans="1:2" x14ac:dyDescent="0.3">
      <c r="A1942" s="114"/>
      <c r="B1942" s="114"/>
    </row>
    <row r="1943" spans="1:2" x14ac:dyDescent="0.3">
      <c r="A1943" s="114"/>
      <c r="B1943" s="114"/>
    </row>
    <row r="1944" spans="1:2" x14ac:dyDescent="0.3">
      <c r="A1944" s="114"/>
      <c r="B1944" s="114"/>
    </row>
    <row r="1945" spans="1:2" x14ac:dyDescent="0.3">
      <c r="A1945" s="114"/>
      <c r="B1945" s="114"/>
    </row>
    <row r="1946" spans="1:2" x14ac:dyDescent="0.3">
      <c r="A1946" s="114"/>
      <c r="B1946" s="114"/>
    </row>
    <row r="1947" spans="1:2" x14ac:dyDescent="0.3">
      <c r="A1947" s="114"/>
      <c r="B1947" s="114"/>
    </row>
    <row r="1948" spans="1:2" x14ac:dyDescent="0.3">
      <c r="A1948" s="114"/>
      <c r="B1948" s="114"/>
    </row>
    <row r="1949" spans="1:2" x14ac:dyDescent="0.3">
      <c r="A1949" s="114"/>
      <c r="B1949" s="114"/>
    </row>
    <row r="1950" spans="1:2" x14ac:dyDescent="0.3">
      <c r="A1950" s="114"/>
      <c r="B1950" s="114"/>
    </row>
    <row r="1951" spans="1:2" x14ac:dyDescent="0.3">
      <c r="A1951" s="114"/>
      <c r="B1951" s="114"/>
    </row>
    <row r="1952" spans="1:2" x14ac:dyDescent="0.3">
      <c r="A1952" s="114"/>
      <c r="B1952" s="114"/>
    </row>
    <row r="1953" spans="1:2" x14ac:dyDescent="0.3">
      <c r="A1953" s="114"/>
      <c r="B1953" s="114"/>
    </row>
    <row r="1954" spans="1:2" x14ac:dyDescent="0.3">
      <c r="A1954" s="114"/>
      <c r="B1954" s="114"/>
    </row>
    <row r="1955" spans="1:2" x14ac:dyDescent="0.3">
      <c r="A1955" s="114"/>
      <c r="B1955" s="114"/>
    </row>
    <row r="1956" spans="1:2" x14ac:dyDescent="0.3">
      <c r="A1956" s="114"/>
      <c r="B1956" s="114"/>
    </row>
    <row r="1957" spans="1:2" x14ac:dyDescent="0.3">
      <c r="A1957" s="114"/>
      <c r="B1957" s="114"/>
    </row>
    <row r="1958" spans="1:2" x14ac:dyDescent="0.3">
      <c r="A1958" s="114"/>
      <c r="B1958" s="114"/>
    </row>
    <row r="1959" spans="1:2" x14ac:dyDescent="0.3">
      <c r="A1959" s="114"/>
      <c r="B1959" s="114"/>
    </row>
    <row r="1960" spans="1:2" x14ac:dyDescent="0.3">
      <c r="A1960" s="114"/>
      <c r="B1960" s="114"/>
    </row>
    <row r="1961" spans="1:2" x14ac:dyDescent="0.3">
      <c r="A1961" s="114"/>
      <c r="B1961" s="114"/>
    </row>
    <row r="1962" spans="1:2" x14ac:dyDescent="0.3">
      <c r="A1962" s="114"/>
      <c r="B1962" s="114"/>
    </row>
    <row r="1963" spans="1:2" x14ac:dyDescent="0.3">
      <c r="A1963" s="114"/>
      <c r="B1963" s="114"/>
    </row>
    <row r="1964" spans="1:2" x14ac:dyDescent="0.3">
      <c r="A1964" s="114"/>
      <c r="B1964" s="114"/>
    </row>
    <row r="1965" spans="1:2" x14ac:dyDescent="0.3">
      <c r="A1965" s="114"/>
      <c r="B1965" s="114"/>
    </row>
    <row r="1966" spans="1:2" x14ac:dyDescent="0.3">
      <c r="A1966" s="114"/>
      <c r="B1966" s="114"/>
    </row>
    <row r="1967" spans="1:2" x14ac:dyDescent="0.3">
      <c r="A1967" s="114"/>
      <c r="B1967" s="114"/>
    </row>
    <row r="1968" spans="1:2" x14ac:dyDescent="0.3">
      <c r="A1968" s="114"/>
      <c r="B1968" s="114"/>
    </row>
    <row r="1969" spans="1:2" x14ac:dyDescent="0.3">
      <c r="A1969" s="114"/>
      <c r="B1969" s="114"/>
    </row>
    <row r="1970" spans="1:2" x14ac:dyDescent="0.3">
      <c r="A1970" s="114"/>
      <c r="B1970" s="114"/>
    </row>
    <row r="1971" spans="1:2" x14ac:dyDescent="0.3">
      <c r="A1971" s="114"/>
      <c r="B1971" s="114"/>
    </row>
    <row r="1972" spans="1:2" x14ac:dyDescent="0.3">
      <c r="A1972" s="114"/>
      <c r="B1972" s="114"/>
    </row>
    <row r="1973" spans="1:2" x14ac:dyDescent="0.3">
      <c r="A1973" s="114"/>
      <c r="B1973" s="114"/>
    </row>
    <row r="1974" spans="1:2" x14ac:dyDescent="0.3">
      <c r="A1974" s="114"/>
      <c r="B1974" s="114"/>
    </row>
    <row r="1975" spans="1:2" x14ac:dyDescent="0.3">
      <c r="A1975" s="114"/>
      <c r="B1975" s="114"/>
    </row>
    <row r="1976" spans="1:2" x14ac:dyDescent="0.3">
      <c r="A1976" s="114"/>
      <c r="B1976" s="114"/>
    </row>
    <row r="1977" spans="1:2" x14ac:dyDescent="0.3">
      <c r="A1977" s="114"/>
      <c r="B1977" s="114"/>
    </row>
    <row r="1978" spans="1:2" x14ac:dyDescent="0.3">
      <c r="A1978" s="114"/>
      <c r="B1978" s="114"/>
    </row>
    <row r="1979" spans="1:2" x14ac:dyDescent="0.3">
      <c r="A1979" s="114"/>
      <c r="B1979" s="114"/>
    </row>
    <row r="1980" spans="1:2" x14ac:dyDescent="0.3">
      <c r="A1980" s="114"/>
      <c r="B1980" s="114"/>
    </row>
    <row r="1981" spans="1:2" x14ac:dyDescent="0.3">
      <c r="A1981" s="114"/>
      <c r="B1981" s="114"/>
    </row>
    <row r="1982" spans="1:2" x14ac:dyDescent="0.3">
      <c r="A1982" s="114"/>
      <c r="B1982" s="114"/>
    </row>
    <row r="1983" spans="1:2" x14ac:dyDescent="0.3">
      <c r="A1983" s="114"/>
      <c r="B1983" s="114"/>
    </row>
    <row r="1984" spans="1:2" x14ac:dyDescent="0.3">
      <c r="A1984" s="114"/>
      <c r="B1984" s="114"/>
    </row>
    <row r="1985" spans="1:2" x14ac:dyDescent="0.3">
      <c r="A1985" s="114"/>
      <c r="B1985" s="114"/>
    </row>
    <row r="1986" spans="1:2" x14ac:dyDescent="0.3">
      <c r="A1986" s="114"/>
      <c r="B1986" s="114"/>
    </row>
    <row r="1987" spans="1:2" x14ac:dyDescent="0.3">
      <c r="A1987" s="114"/>
      <c r="B1987" s="114"/>
    </row>
    <row r="1988" spans="1:2" x14ac:dyDescent="0.3">
      <c r="A1988" s="114"/>
      <c r="B1988" s="114"/>
    </row>
    <row r="1989" spans="1:2" x14ac:dyDescent="0.3">
      <c r="A1989" s="114"/>
      <c r="B1989" s="114"/>
    </row>
    <row r="1990" spans="1:2" x14ac:dyDescent="0.3">
      <c r="A1990" s="114"/>
      <c r="B1990" s="114"/>
    </row>
    <row r="1991" spans="1:2" x14ac:dyDescent="0.3">
      <c r="A1991" s="114"/>
      <c r="B1991" s="114"/>
    </row>
    <row r="1992" spans="1:2" x14ac:dyDescent="0.3">
      <c r="A1992" s="114"/>
      <c r="B1992" s="114"/>
    </row>
    <row r="1993" spans="1:2" x14ac:dyDescent="0.3">
      <c r="A1993" s="114"/>
      <c r="B1993" s="114"/>
    </row>
    <row r="1994" spans="1:2" x14ac:dyDescent="0.3">
      <c r="A1994" s="114"/>
      <c r="B1994" s="114"/>
    </row>
    <row r="1995" spans="1:2" x14ac:dyDescent="0.3">
      <c r="A1995" s="114"/>
      <c r="B1995" s="114"/>
    </row>
    <row r="1996" spans="1:2" x14ac:dyDescent="0.3">
      <c r="A1996" s="114"/>
      <c r="B1996" s="114"/>
    </row>
    <row r="1997" spans="1:2" x14ac:dyDescent="0.3">
      <c r="A1997" s="114"/>
      <c r="B1997" s="114"/>
    </row>
    <row r="1998" spans="1:2" x14ac:dyDescent="0.3">
      <c r="A1998" s="114"/>
      <c r="B1998" s="114"/>
    </row>
    <row r="1999" spans="1:2" x14ac:dyDescent="0.3">
      <c r="A1999" s="114"/>
      <c r="B1999" s="114"/>
    </row>
    <row r="2000" spans="1:2" x14ac:dyDescent="0.3">
      <c r="A2000" s="114"/>
      <c r="B2000" s="114"/>
    </row>
    <row r="2001" spans="1:2" x14ac:dyDescent="0.3">
      <c r="A2001" s="114"/>
      <c r="B2001" s="114"/>
    </row>
    <row r="2002" spans="1:2" x14ac:dyDescent="0.3">
      <c r="A2002" s="114"/>
      <c r="B2002" s="114"/>
    </row>
    <row r="2003" spans="1:2" x14ac:dyDescent="0.3">
      <c r="A2003" s="114"/>
      <c r="B2003" s="114"/>
    </row>
    <row r="2004" spans="1:2" x14ac:dyDescent="0.3">
      <c r="A2004" s="114"/>
      <c r="B2004" s="114"/>
    </row>
    <row r="2005" spans="1:2" x14ac:dyDescent="0.3">
      <c r="A2005" s="114"/>
      <c r="B2005" s="114"/>
    </row>
    <row r="2006" spans="1:2" x14ac:dyDescent="0.3">
      <c r="A2006" s="114"/>
      <c r="B2006" s="114"/>
    </row>
    <row r="2007" spans="1:2" x14ac:dyDescent="0.3">
      <c r="A2007" s="114"/>
      <c r="B2007" s="114"/>
    </row>
    <row r="2008" spans="1:2" x14ac:dyDescent="0.3">
      <c r="A2008" s="114"/>
      <c r="B2008" s="114"/>
    </row>
    <row r="2009" spans="1:2" x14ac:dyDescent="0.3">
      <c r="A2009" s="114"/>
      <c r="B2009" s="114"/>
    </row>
    <row r="2010" spans="1:2" x14ac:dyDescent="0.3">
      <c r="A2010" s="114"/>
      <c r="B2010" s="114"/>
    </row>
    <row r="2011" spans="1:2" x14ac:dyDescent="0.3">
      <c r="A2011" s="114"/>
      <c r="B2011" s="114"/>
    </row>
    <row r="2012" spans="1:2" x14ac:dyDescent="0.3">
      <c r="A2012" s="114"/>
      <c r="B2012" s="114"/>
    </row>
    <row r="2013" spans="1:2" x14ac:dyDescent="0.3">
      <c r="A2013" s="114"/>
      <c r="B2013" s="114"/>
    </row>
    <row r="2014" spans="1:2" x14ac:dyDescent="0.3">
      <c r="A2014" s="114"/>
      <c r="B2014" s="114"/>
    </row>
    <row r="2015" spans="1:2" x14ac:dyDescent="0.3">
      <c r="A2015" s="114"/>
      <c r="B2015" s="114"/>
    </row>
    <row r="2016" spans="1:2" x14ac:dyDescent="0.3">
      <c r="A2016" s="114"/>
      <c r="B2016" s="114"/>
    </row>
    <row r="2017" spans="1:2" x14ac:dyDescent="0.3">
      <c r="A2017" s="114"/>
      <c r="B2017" s="114"/>
    </row>
    <row r="2018" spans="1:2" x14ac:dyDescent="0.3">
      <c r="A2018" s="114"/>
      <c r="B2018" s="114"/>
    </row>
    <row r="2019" spans="1:2" x14ac:dyDescent="0.3">
      <c r="A2019" s="114"/>
      <c r="B2019" s="114"/>
    </row>
    <row r="2020" spans="1:2" x14ac:dyDescent="0.3">
      <c r="A2020" s="114"/>
      <c r="B2020" s="114"/>
    </row>
    <row r="2021" spans="1:2" x14ac:dyDescent="0.3">
      <c r="A2021" s="114"/>
      <c r="B2021" s="114"/>
    </row>
    <row r="2022" spans="1:2" x14ac:dyDescent="0.3">
      <c r="A2022" s="114"/>
      <c r="B2022" s="114"/>
    </row>
    <row r="2023" spans="1:2" x14ac:dyDescent="0.3">
      <c r="A2023" s="114"/>
      <c r="B2023" s="114"/>
    </row>
    <row r="2024" spans="1:2" x14ac:dyDescent="0.3">
      <c r="A2024" s="114"/>
      <c r="B2024" s="114"/>
    </row>
    <row r="2025" spans="1:2" x14ac:dyDescent="0.3">
      <c r="A2025" s="114"/>
      <c r="B2025" s="114"/>
    </row>
    <row r="2026" spans="1:2" x14ac:dyDescent="0.3">
      <c r="A2026" s="114"/>
      <c r="B2026" s="114"/>
    </row>
    <row r="2027" spans="1:2" x14ac:dyDescent="0.3">
      <c r="A2027" s="114"/>
      <c r="B2027" s="114"/>
    </row>
    <row r="2028" spans="1:2" x14ac:dyDescent="0.3">
      <c r="A2028" s="114"/>
      <c r="B2028" s="114"/>
    </row>
    <row r="2029" spans="1:2" x14ac:dyDescent="0.3">
      <c r="A2029" s="114"/>
      <c r="B2029" s="114"/>
    </row>
    <row r="2030" spans="1:2" x14ac:dyDescent="0.3">
      <c r="A2030" s="114"/>
      <c r="B2030" s="114"/>
    </row>
    <row r="2031" spans="1:2" x14ac:dyDescent="0.3">
      <c r="A2031" s="114"/>
      <c r="B2031" s="114"/>
    </row>
    <row r="2032" spans="1:2" x14ac:dyDescent="0.3">
      <c r="A2032" s="114"/>
      <c r="B2032" s="114"/>
    </row>
    <row r="2033" spans="1:2" x14ac:dyDescent="0.3">
      <c r="A2033" s="114"/>
      <c r="B2033" s="114"/>
    </row>
    <row r="2034" spans="1:2" x14ac:dyDescent="0.3">
      <c r="A2034" s="114"/>
      <c r="B2034" s="114"/>
    </row>
    <row r="2035" spans="1:2" x14ac:dyDescent="0.3">
      <c r="A2035" s="114"/>
      <c r="B2035" s="114"/>
    </row>
    <row r="2036" spans="1:2" x14ac:dyDescent="0.3">
      <c r="A2036" s="114"/>
      <c r="B2036" s="114"/>
    </row>
    <row r="2037" spans="1:2" x14ac:dyDescent="0.3">
      <c r="A2037" s="114"/>
      <c r="B2037" s="114"/>
    </row>
    <row r="2038" spans="1:2" x14ac:dyDescent="0.3">
      <c r="A2038" s="114"/>
      <c r="B2038" s="114"/>
    </row>
    <row r="2039" spans="1:2" x14ac:dyDescent="0.3">
      <c r="A2039" s="114"/>
      <c r="B2039" s="114"/>
    </row>
    <row r="2040" spans="1:2" x14ac:dyDescent="0.3">
      <c r="A2040" s="114"/>
      <c r="B2040" s="114"/>
    </row>
    <row r="2041" spans="1:2" x14ac:dyDescent="0.3">
      <c r="A2041" s="114"/>
      <c r="B2041" s="114"/>
    </row>
    <row r="2042" spans="1:2" x14ac:dyDescent="0.3">
      <c r="A2042" s="114"/>
      <c r="B2042" s="114"/>
    </row>
    <row r="2043" spans="1:2" x14ac:dyDescent="0.3">
      <c r="A2043" s="114"/>
      <c r="B2043" s="114"/>
    </row>
    <row r="2044" spans="1:2" x14ac:dyDescent="0.3">
      <c r="A2044" s="114"/>
      <c r="B2044" s="114"/>
    </row>
    <row r="2045" spans="1:2" x14ac:dyDescent="0.3">
      <c r="A2045" s="114"/>
      <c r="B2045" s="114"/>
    </row>
    <row r="2046" spans="1:2" x14ac:dyDescent="0.3">
      <c r="A2046" s="114"/>
      <c r="B2046" s="114"/>
    </row>
    <row r="2047" spans="1:2" x14ac:dyDescent="0.3">
      <c r="A2047" s="114"/>
      <c r="B2047" s="114"/>
    </row>
    <row r="2048" spans="1:2" x14ac:dyDescent="0.3">
      <c r="A2048" s="114"/>
      <c r="B2048" s="114"/>
    </row>
    <row r="2049" spans="1:2" x14ac:dyDescent="0.3">
      <c r="A2049" s="114"/>
      <c r="B2049" s="114"/>
    </row>
    <row r="2050" spans="1:2" x14ac:dyDescent="0.3">
      <c r="A2050" s="114"/>
      <c r="B2050" s="114"/>
    </row>
    <row r="2051" spans="1:2" x14ac:dyDescent="0.3">
      <c r="A2051" s="114"/>
      <c r="B2051" s="114"/>
    </row>
    <row r="2052" spans="1:2" x14ac:dyDescent="0.3">
      <c r="A2052" s="114"/>
      <c r="B2052" s="114"/>
    </row>
    <row r="2053" spans="1:2" x14ac:dyDescent="0.3">
      <c r="A2053" s="114"/>
      <c r="B2053" s="114"/>
    </row>
    <row r="2054" spans="1:2" x14ac:dyDescent="0.3">
      <c r="A2054" s="114"/>
      <c r="B2054" s="114"/>
    </row>
    <row r="2055" spans="1:2" x14ac:dyDescent="0.3">
      <c r="A2055" s="114"/>
      <c r="B2055" s="114"/>
    </row>
    <row r="2056" spans="1:2" x14ac:dyDescent="0.3">
      <c r="A2056" s="114"/>
      <c r="B2056" s="114"/>
    </row>
    <row r="2057" spans="1:2" x14ac:dyDescent="0.3">
      <c r="A2057" s="114"/>
      <c r="B2057" s="114"/>
    </row>
    <row r="2058" spans="1:2" x14ac:dyDescent="0.3">
      <c r="A2058" s="114"/>
      <c r="B2058" s="114"/>
    </row>
    <row r="2059" spans="1:2" x14ac:dyDescent="0.3">
      <c r="A2059" s="114"/>
      <c r="B2059" s="114"/>
    </row>
    <row r="2060" spans="1:2" x14ac:dyDescent="0.3">
      <c r="A2060" s="114"/>
      <c r="B2060" s="114"/>
    </row>
    <row r="2061" spans="1:2" x14ac:dyDescent="0.3">
      <c r="A2061" s="114"/>
      <c r="B2061" s="114"/>
    </row>
    <row r="2062" spans="1:2" x14ac:dyDescent="0.3">
      <c r="A2062" s="114"/>
      <c r="B2062" s="114"/>
    </row>
    <row r="2063" spans="1:2" x14ac:dyDescent="0.3">
      <c r="A2063" s="114"/>
      <c r="B2063" s="114"/>
    </row>
    <row r="2064" spans="1:2" x14ac:dyDescent="0.3">
      <c r="A2064" s="114"/>
      <c r="B2064" s="114"/>
    </row>
    <row r="2065" spans="1:2" x14ac:dyDescent="0.3">
      <c r="A2065" s="114"/>
      <c r="B2065" s="114"/>
    </row>
    <row r="2066" spans="1:2" x14ac:dyDescent="0.3">
      <c r="A2066" s="114"/>
      <c r="B2066" s="114"/>
    </row>
    <row r="2067" spans="1:2" x14ac:dyDescent="0.3">
      <c r="A2067" s="114"/>
      <c r="B2067" s="114"/>
    </row>
    <row r="2068" spans="1:2" x14ac:dyDescent="0.3">
      <c r="A2068" s="114"/>
      <c r="B2068" s="114"/>
    </row>
    <row r="2069" spans="1:2" x14ac:dyDescent="0.3">
      <c r="A2069" s="114"/>
      <c r="B2069" s="114"/>
    </row>
    <row r="2070" spans="1:2" x14ac:dyDescent="0.3">
      <c r="A2070" s="114"/>
      <c r="B2070" s="114"/>
    </row>
    <row r="2071" spans="1:2" x14ac:dyDescent="0.3">
      <c r="A2071" s="114"/>
      <c r="B2071" s="114"/>
    </row>
    <row r="2072" spans="1:2" x14ac:dyDescent="0.3">
      <c r="A2072" s="114"/>
      <c r="B2072" s="114"/>
    </row>
    <row r="2073" spans="1:2" x14ac:dyDescent="0.3">
      <c r="A2073" s="114"/>
      <c r="B2073" s="114"/>
    </row>
    <row r="2074" spans="1:2" x14ac:dyDescent="0.3">
      <c r="A2074" s="114"/>
      <c r="B2074" s="114"/>
    </row>
    <row r="2075" spans="1:2" x14ac:dyDescent="0.3">
      <c r="A2075" s="114"/>
      <c r="B2075" s="114"/>
    </row>
    <row r="2076" spans="1:2" x14ac:dyDescent="0.3">
      <c r="A2076" s="114"/>
      <c r="B2076" s="114"/>
    </row>
    <row r="2077" spans="1:2" x14ac:dyDescent="0.3">
      <c r="A2077" s="114"/>
      <c r="B2077" s="114"/>
    </row>
    <row r="2078" spans="1:2" x14ac:dyDescent="0.3">
      <c r="A2078" s="114"/>
      <c r="B2078" s="114"/>
    </row>
    <row r="2079" spans="1:2" x14ac:dyDescent="0.3">
      <c r="A2079" s="114"/>
      <c r="B2079" s="114"/>
    </row>
    <row r="2080" spans="1:2" x14ac:dyDescent="0.3">
      <c r="A2080" s="114"/>
      <c r="B2080" s="114"/>
    </row>
    <row r="2081" spans="1:2" x14ac:dyDescent="0.3">
      <c r="A2081" s="114"/>
      <c r="B2081" s="114"/>
    </row>
    <row r="2082" spans="1:2" x14ac:dyDescent="0.3">
      <c r="A2082" s="114"/>
      <c r="B2082" s="114"/>
    </row>
    <row r="2083" spans="1:2" x14ac:dyDescent="0.3">
      <c r="A2083" s="114"/>
      <c r="B2083" s="114"/>
    </row>
    <row r="2084" spans="1:2" x14ac:dyDescent="0.3">
      <c r="A2084" s="114"/>
      <c r="B2084" s="114"/>
    </row>
    <row r="2085" spans="1:2" x14ac:dyDescent="0.3">
      <c r="A2085" s="114"/>
      <c r="B2085" s="114"/>
    </row>
    <row r="2086" spans="1:2" x14ac:dyDescent="0.3">
      <c r="A2086" s="114"/>
      <c r="B2086" s="114"/>
    </row>
    <row r="2087" spans="1:2" x14ac:dyDescent="0.3">
      <c r="A2087" s="114"/>
      <c r="B2087" s="114"/>
    </row>
    <row r="2088" spans="1:2" x14ac:dyDescent="0.3">
      <c r="A2088" s="114"/>
      <c r="B2088" s="114"/>
    </row>
    <row r="2089" spans="1:2" x14ac:dyDescent="0.3">
      <c r="A2089" s="114"/>
      <c r="B2089" s="114"/>
    </row>
    <row r="2090" spans="1:2" x14ac:dyDescent="0.3">
      <c r="A2090" s="114"/>
      <c r="B2090" s="114"/>
    </row>
    <row r="2091" spans="1:2" x14ac:dyDescent="0.3">
      <c r="A2091" s="114"/>
      <c r="B2091" s="114"/>
    </row>
    <row r="2092" spans="1:2" x14ac:dyDescent="0.3">
      <c r="A2092" s="114"/>
      <c r="B2092" s="114"/>
    </row>
    <row r="2093" spans="1:2" x14ac:dyDescent="0.3">
      <c r="A2093" s="114"/>
      <c r="B2093" s="114"/>
    </row>
    <row r="2094" spans="1:2" x14ac:dyDescent="0.3">
      <c r="A2094" s="114"/>
      <c r="B2094" s="114"/>
    </row>
    <row r="2095" spans="1:2" x14ac:dyDescent="0.3">
      <c r="A2095" s="114"/>
      <c r="B2095" s="114"/>
    </row>
    <row r="2096" spans="1:2" x14ac:dyDescent="0.3">
      <c r="A2096" s="114"/>
      <c r="B2096" s="114"/>
    </row>
    <row r="2097" spans="1:2" x14ac:dyDescent="0.3">
      <c r="A2097" s="114"/>
      <c r="B2097" s="114"/>
    </row>
    <row r="2098" spans="1:2" x14ac:dyDescent="0.3">
      <c r="A2098" s="114"/>
      <c r="B2098" s="114"/>
    </row>
    <row r="2099" spans="1:2" x14ac:dyDescent="0.3">
      <c r="A2099" s="114"/>
      <c r="B2099" s="114"/>
    </row>
    <row r="2100" spans="1:2" x14ac:dyDescent="0.3">
      <c r="A2100" s="114"/>
      <c r="B2100" s="114"/>
    </row>
    <row r="2101" spans="1:2" x14ac:dyDescent="0.3">
      <c r="A2101" s="114"/>
      <c r="B2101" s="114"/>
    </row>
    <row r="2102" spans="1:2" x14ac:dyDescent="0.3">
      <c r="A2102" s="114"/>
      <c r="B2102" s="114"/>
    </row>
    <row r="2103" spans="1:2" x14ac:dyDescent="0.3">
      <c r="A2103" s="114"/>
      <c r="B2103" s="114"/>
    </row>
    <row r="2104" spans="1:2" x14ac:dyDescent="0.3">
      <c r="A2104" s="114"/>
      <c r="B2104" s="114"/>
    </row>
    <row r="2105" spans="1:2" x14ac:dyDescent="0.3">
      <c r="A2105" s="114"/>
      <c r="B2105" s="114"/>
    </row>
    <row r="2106" spans="1:2" x14ac:dyDescent="0.3">
      <c r="A2106" s="114"/>
      <c r="B2106" s="114"/>
    </row>
    <row r="2107" spans="1:2" x14ac:dyDescent="0.3">
      <c r="A2107" s="114"/>
      <c r="B2107" s="114"/>
    </row>
    <row r="2108" spans="1:2" x14ac:dyDescent="0.3">
      <c r="A2108" s="114"/>
      <c r="B2108" s="114"/>
    </row>
    <row r="2109" spans="1:2" x14ac:dyDescent="0.3">
      <c r="A2109" s="114"/>
      <c r="B2109" s="114"/>
    </row>
    <row r="2110" spans="1:2" x14ac:dyDescent="0.3">
      <c r="A2110" s="114"/>
      <c r="B2110" s="114"/>
    </row>
    <row r="2111" spans="1:2" x14ac:dyDescent="0.3">
      <c r="A2111" s="114"/>
      <c r="B2111" s="114"/>
    </row>
    <row r="2112" spans="1:2" x14ac:dyDescent="0.3">
      <c r="A2112" s="114"/>
      <c r="B2112" s="114"/>
    </row>
    <row r="2113" spans="1:2" x14ac:dyDescent="0.3">
      <c r="A2113" s="114"/>
      <c r="B2113" s="114"/>
    </row>
    <row r="2114" spans="1:2" x14ac:dyDescent="0.3">
      <c r="A2114" s="114"/>
      <c r="B2114" s="114"/>
    </row>
    <row r="2115" spans="1:2" x14ac:dyDescent="0.3">
      <c r="A2115" s="114"/>
      <c r="B2115" s="114"/>
    </row>
    <row r="2116" spans="1:2" x14ac:dyDescent="0.3">
      <c r="A2116" s="114"/>
      <c r="B2116" s="114"/>
    </row>
    <row r="2117" spans="1:2" x14ac:dyDescent="0.3">
      <c r="A2117" s="114"/>
      <c r="B2117" s="114"/>
    </row>
    <row r="2118" spans="1:2" x14ac:dyDescent="0.3">
      <c r="A2118" s="114"/>
      <c r="B2118" s="114"/>
    </row>
    <row r="2119" spans="1:2" x14ac:dyDescent="0.3">
      <c r="A2119" s="114"/>
      <c r="B2119" s="114"/>
    </row>
    <row r="2120" spans="1:2" x14ac:dyDescent="0.3">
      <c r="A2120" s="114"/>
      <c r="B2120" s="114"/>
    </row>
    <row r="2121" spans="1:2" x14ac:dyDescent="0.3">
      <c r="A2121" s="114"/>
      <c r="B2121" s="114"/>
    </row>
    <row r="2122" spans="1:2" x14ac:dyDescent="0.3">
      <c r="A2122" s="114"/>
      <c r="B2122" s="114"/>
    </row>
    <row r="2123" spans="1:2" x14ac:dyDescent="0.3">
      <c r="A2123" s="114"/>
      <c r="B2123" s="114"/>
    </row>
    <row r="2124" spans="1:2" x14ac:dyDescent="0.3">
      <c r="A2124" s="114"/>
      <c r="B2124" s="114"/>
    </row>
    <row r="2125" spans="1:2" x14ac:dyDescent="0.3">
      <c r="A2125" s="114"/>
      <c r="B2125" s="114"/>
    </row>
    <row r="2126" spans="1:2" x14ac:dyDescent="0.3">
      <c r="A2126" s="114"/>
      <c r="B2126" s="114"/>
    </row>
    <row r="2127" spans="1:2" x14ac:dyDescent="0.3">
      <c r="A2127" s="114"/>
      <c r="B2127" s="114"/>
    </row>
    <row r="2128" spans="1:2" x14ac:dyDescent="0.3">
      <c r="A2128" s="114"/>
      <c r="B2128" s="114"/>
    </row>
    <row r="2129" spans="1:2" x14ac:dyDescent="0.3">
      <c r="A2129" s="114"/>
      <c r="B2129" s="114"/>
    </row>
    <row r="2130" spans="1:2" x14ac:dyDescent="0.3">
      <c r="A2130" s="114"/>
      <c r="B2130" s="114"/>
    </row>
    <row r="2131" spans="1:2" x14ac:dyDescent="0.3">
      <c r="A2131" s="114"/>
      <c r="B2131" s="114"/>
    </row>
    <row r="2132" spans="1:2" x14ac:dyDescent="0.3">
      <c r="A2132" s="114"/>
      <c r="B2132" s="114"/>
    </row>
    <row r="2133" spans="1:2" x14ac:dyDescent="0.3">
      <c r="A2133" s="114"/>
      <c r="B2133" s="114"/>
    </row>
    <row r="2134" spans="1:2" x14ac:dyDescent="0.3">
      <c r="A2134" s="114"/>
      <c r="B2134" s="114"/>
    </row>
    <row r="2135" spans="1:2" x14ac:dyDescent="0.3">
      <c r="A2135" s="114"/>
      <c r="B2135" s="114"/>
    </row>
    <row r="2136" spans="1:2" x14ac:dyDescent="0.3">
      <c r="A2136" s="114"/>
      <c r="B2136" s="114"/>
    </row>
    <row r="2137" spans="1:2" x14ac:dyDescent="0.3">
      <c r="B2137" s="114"/>
    </row>
    <row r="2138" spans="1:2" x14ac:dyDescent="0.3">
      <c r="B2138" s="114"/>
    </row>
    <row r="2139" spans="1:2" x14ac:dyDescent="0.3">
      <c r="B2139" s="114"/>
    </row>
    <row r="2140" spans="1:2" x14ac:dyDescent="0.3">
      <c r="B2140" s="114"/>
    </row>
    <row r="2141" spans="1:2" x14ac:dyDescent="0.3">
      <c r="B2141" s="114"/>
    </row>
    <row r="2142" spans="1:2" x14ac:dyDescent="0.3">
      <c r="B2142" s="114"/>
    </row>
    <row r="2143" spans="1:2" x14ac:dyDescent="0.3">
      <c r="B2143" s="114"/>
    </row>
    <row r="2144" spans="1:2" x14ac:dyDescent="0.3">
      <c r="B2144" s="114"/>
    </row>
    <row r="2145" spans="2:2" x14ac:dyDescent="0.3">
      <c r="B2145" s="114"/>
    </row>
    <row r="2146" spans="2:2" x14ac:dyDescent="0.3">
      <c r="B2146" s="114"/>
    </row>
    <row r="2147" spans="2:2" x14ac:dyDescent="0.3">
      <c r="B2147" s="114"/>
    </row>
    <row r="2148" spans="2:2" x14ac:dyDescent="0.3">
      <c r="B2148" s="114"/>
    </row>
    <row r="2149" spans="2:2" x14ac:dyDescent="0.3">
      <c r="B2149" s="114"/>
    </row>
    <row r="2150" spans="2:2" x14ac:dyDescent="0.3">
      <c r="B2150" s="114"/>
    </row>
    <row r="2151" spans="2:2" x14ac:dyDescent="0.3">
      <c r="B2151" s="114"/>
    </row>
    <row r="2152" spans="2:2" x14ac:dyDescent="0.3">
      <c r="B2152" s="114"/>
    </row>
    <row r="2153" spans="2:2" x14ac:dyDescent="0.3">
      <c r="B2153" s="114"/>
    </row>
    <row r="2154" spans="2:2" x14ac:dyDescent="0.3">
      <c r="B2154" s="114"/>
    </row>
    <row r="2155" spans="2:2" x14ac:dyDescent="0.3">
      <c r="B2155" s="114"/>
    </row>
    <row r="2156" spans="2:2" x14ac:dyDescent="0.3">
      <c r="B2156" s="114"/>
    </row>
    <row r="2157" spans="2:2" x14ac:dyDescent="0.3">
      <c r="B2157" s="114"/>
    </row>
    <row r="2158" spans="2:2" x14ac:dyDescent="0.3">
      <c r="B2158" s="114"/>
    </row>
    <row r="2159" spans="2:2" x14ac:dyDescent="0.3">
      <c r="B2159" s="114"/>
    </row>
    <row r="2160" spans="2:2" x14ac:dyDescent="0.3">
      <c r="B2160" s="114"/>
    </row>
    <row r="2161" spans="2:2" x14ac:dyDescent="0.3">
      <c r="B2161" s="114"/>
    </row>
    <row r="2162" spans="2:2" x14ac:dyDescent="0.3">
      <c r="B2162" s="114"/>
    </row>
    <row r="2163" spans="2:2" x14ac:dyDescent="0.3">
      <c r="B2163" s="114"/>
    </row>
    <row r="2164" spans="2:2" x14ac:dyDescent="0.3">
      <c r="B2164" s="114"/>
    </row>
    <row r="2165" spans="2:2" x14ac:dyDescent="0.3">
      <c r="B2165" s="114"/>
    </row>
    <row r="2166" spans="2:2" x14ac:dyDescent="0.3">
      <c r="B2166" s="114"/>
    </row>
    <row r="2167" spans="2:2" x14ac:dyDescent="0.3">
      <c r="B2167" s="114"/>
    </row>
    <row r="2168" spans="2:2" x14ac:dyDescent="0.3">
      <c r="B2168" s="114"/>
    </row>
    <row r="2169" spans="2:2" x14ac:dyDescent="0.3">
      <c r="B2169" s="114"/>
    </row>
    <row r="2170" spans="2:2" x14ac:dyDescent="0.3">
      <c r="B2170" s="114"/>
    </row>
    <row r="2171" spans="2:2" x14ac:dyDescent="0.3">
      <c r="B2171" s="114"/>
    </row>
    <row r="2172" spans="2:2" x14ac:dyDescent="0.3">
      <c r="B2172" s="114"/>
    </row>
    <row r="2173" spans="2:2" x14ac:dyDescent="0.3">
      <c r="B2173" s="114"/>
    </row>
    <row r="2174" spans="2:2" x14ac:dyDescent="0.3">
      <c r="B2174" s="114"/>
    </row>
    <row r="2175" spans="2:2" x14ac:dyDescent="0.3">
      <c r="B2175" s="114"/>
    </row>
    <row r="2176" spans="2:2" x14ac:dyDescent="0.3">
      <c r="B2176" s="114"/>
    </row>
    <row r="2177" spans="2:2" x14ac:dyDescent="0.3">
      <c r="B2177" s="114"/>
    </row>
    <row r="2178" spans="2:2" x14ac:dyDescent="0.3">
      <c r="B2178" s="114"/>
    </row>
    <row r="2179" spans="2:2" x14ac:dyDescent="0.3">
      <c r="B2179" s="114"/>
    </row>
    <row r="2180" spans="2:2" x14ac:dyDescent="0.3">
      <c r="B2180" s="114"/>
    </row>
    <row r="2181" spans="2:2" x14ac:dyDescent="0.3">
      <c r="B2181" s="114"/>
    </row>
    <row r="2182" spans="2:2" x14ac:dyDescent="0.3">
      <c r="B2182" s="114"/>
    </row>
  </sheetData>
  <autoFilter ref="B6:E82"/>
  <mergeCells count="116">
    <mergeCell ref="BZ5:CK5"/>
    <mergeCell ref="BH85:BM85"/>
    <mergeCell ref="BN85:BS85"/>
    <mergeCell ref="BH86:BM86"/>
    <mergeCell ref="BN86:BS86"/>
    <mergeCell ref="BH87:BM87"/>
    <mergeCell ref="BN87:BS87"/>
    <mergeCell ref="BH88:BM88"/>
    <mergeCell ref="BN88:BS88"/>
    <mergeCell ref="CH32:CJ32"/>
    <mergeCell ref="BV31:BX31"/>
    <mergeCell ref="BJ7:BL7"/>
    <mergeCell ref="BW10:BX10"/>
    <mergeCell ref="CH8:CI8"/>
    <mergeCell ref="BI27:BJ27"/>
    <mergeCell ref="BT27:BV27"/>
    <mergeCell ref="CF28:CH28"/>
    <mergeCell ref="L90:Q90"/>
    <mergeCell ref="L89:Q89"/>
    <mergeCell ref="R89:W89"/>
    <mergeCell ref="X86:AC86"/>
    <mergeCell ref="AD86:AI86"/>
    <mergeCell ref="R88:W88"/>
    <mergeCell ref="AP89:AU89"/>
    <mergeCell ref="X89:AC89"/>
    <mergeCell ref="AD89:AI89"/>
    <mergeCell ref="AD90:AI90"/>
    <mergeCell ref="BH89:BM89"/>
    <mergeCell ref="BN89:BS89"/>
    <mergeCell ref="BH90:BM90"/>
    <mergeCell ref="BN90:BS90"/>
    <mergeCell ref="BB86:BG86"/>
    <mergeCell ref="AJ86:AO86"/>
    <mergeCell ref="AP86:AU86"/>
    <mergeCell ref="AV86:BA86"/>
    <mergeCell ref="AL32:AN32"/>
    <mergeCell ref="AL33:AM33"/>
    <mergeCell ref="AM36:AN36"/>
    <mergeCell ref="AJ89:AO89"/>
    <mergeCell ref="AE36:AI36"/>
    <mergeCell ref="AA22:AB22"/>
    <mergeCell ref="AM21:AO21"/>
    <mergeCell ref="AY22:BA22"/>
    <mergeCell ref="AJ25:AL25"/>
    <mergeCell ref="AT25:AU25"/>
    <mergeCell ref="AN27:AO27"/>
    <mergeCell ref="L88:Q88"/>
    <mergeCell ref="N37:O37"/>
    <mergeCell ref="N30:O30"/>
    <mergeCell ref="AA32:AB32"/>
    <mergeCell ref="AV85:BA85"/>
    <mergeCell ref="AJ85:AO85"/>
    <mergeCell ref="AP85:AU85"/>
    <mergeCell ref="X85:AC85"/>
    <mergeCell ref="AD85:AI85"/>
    <mergeCell ref="R85:W85"/>
    <mergeCell ref="R86:W86"/>
    <mergeCell ref="B88:C88"/>
    <mergeCell ref="B89:C89"/>
    <mergeCell ref="B90:C90"/>
    <mergeCell ref="BB90:BG90"/>
    <mergeCell ref="AV87:BA87"/>
    <mergeCell ref="BB87:BG87"/>
    <mergeCell ref="AV88:BA88"/>
    <mergeCell ref="BB88:BG88"/>
    <mergeCell ref="AV89:BA89"/>
    <mergeCell ref="BB89:BG89"/>
    <mergeCell ref="X90:AC90"/>
    <mergeCell ref="AJ90:AO90"/>
    <mergeCell ref="AP90:AU90"/>
    <mergeCell ref="X87:AC87"/>
    <mergeCell ref="AD87:AI87"/>
    <mergeCell ref="AJ87:AO87"/>
    <mergeCell ref="AP87:AU87"/>
    <mergeCell ref="X88:AC88"/>
    <mergeCell ref="AD88:AI88"/>
    <mergeCell ref="AV90:BA90"/>
    <mergeCell ref="R87:W87"/>
    <mergeCell ref="AJ88:AO88"/>
    <mergeCell ref="AP88:AU88"/>
    <mergeCell ref="R90:W90"/>
    <mergeCell ref="B85:C85"/>
    <mergeCell ref="B86:C86"/>
    <mergeCell ref="B87:C87"/>
    <mergeCell ref="BJ30:BL30"/>
    <mergeCell ref="L86:Q86"/>
    <mergeCell ref="L87:Q87"/>
    <mergeCell ref="R5:AC5"/>
    <mergeCell ref="BN5:BY5"/>
    <mergeCell ref="BB85:BG85"/>
    <mergeCell ref="BB5:BM5"/>
    <mergeCell ref="AD5:AO5"/>
    <mergeCell ref="AP5:BA5"/>
    <mergeCell ref="L85:Q85"/>
    <mergeCell ref="AX29:AZ29"/>
    <mergeCell ref="Z31:AB31"/>
    <mergeCell ref="B5:C5"/>
    <mergeCell ref="U24:V24"/>
    <mergeCell ref="AX18:AY18"/>
    <mergeCell ref="S16:T16"/>
    <mergeCell ref="Y10:AA10"/>
    <mergeCell ref="H29:I29"/>
    <mergeCell ref="Z35:AA35"/>
    <mergeCell ref="AK8:AM8"/>
    <mergeCell ref="M27:N27"/>
    <mergeCell ref="F5:Q5"/>
    <mergeCell ref="I7:K7"/>
    <mergeCell ref="Z17:AA17"/>
    <mergeCell ref="N19:O19"/>
    <mergeCell ref="M13:P13"/>
    <mergeCell ref="AX9:AZ9"/>
    <mergeCell ref="T14:U14"/>
    <mergeCell ref="AG12:AH12"/>
    <mergeCell ref="Z26:AA26"/>
    <mergeCell ref="AV26:AX26"/>
    <mergeCell ref="AF20:AH20"/>
  </mergeCells>
  <pageMargins left="0.7" right="0.7" top="0.75" bottom="0.75" header="0.3" footer="0.3"/>
  <pageSetup paperSize="8" scale="60" orientation="landscape"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R128"/>
  <sheetViews>
    <sheetView zoomScale="90" zoomScaleNormal="90" workbookViewId="0">
      <pane ySplit="4" topLeftCell="A44" activePane="bottomLeft" state="frozen"/>
      <selection pane="bottomLeft" activeCell="B10" sqref="B10"/>
    </sheetView>
  </sheetViews>
  <sheetFormatPr defaultRowHeight="16.5" x14ac:dyDescent="0.3"/>
  <cols>
    <col min="1" max="1" width="9.5" style="85" customWidth="1"/>
    <col min="2" max="2" width="13.25" style="82" customWidth="1"/>
    <col min="3" max="3" width="38.125" bestFit="1" customWidth="1"/>
    <col min="4" max="4" width="12.375" style="82" customWidth="1"/>
    <col min="5" max="7" width="10.125" style="82" customWidth="1"/>
    <col min="8" max="8" width="14.125" style="102" customWidth="1"/>
    <col min="9" max="9" width="14.25" style="102" customWidth="1"/>
    <col min="10" max="10" width="19.125" style="82" customWidth="1"/>
    <col min="11" max="11" width="17" style="82" customWidth="1"/>
    <col min="12" max="12" width="29" style="82" customWidth="1"/>
    <col min="13" max="13" width="23.5" style="82" customWidth="1"/>
    <col min="14" max="16" width="9" style="85"/>
    <col min="17" max="17" width="2.5" style="85" customWidth="1"/>
    <col min="18" max="18" width="9" style="85"/>
  </cols>
  <sheetData>
    <row r="1" spans="2:13" x14ac:dyDescent="0.3">
      <c r="B1" s="86"/>
      <c r="C1" s="85"/>
      <c r="D1" s="86"/>
      <c r="E1" s="86"/>
      <c r="F1" s="86"/>
      <c r="G1" s="86"/>
      <c r="H1" s="100"/>
      <c r="I1" s="100"/>
      <c r="J1" s="86"/>
      <c r="K1" s="86"/>
      <c r="L1" s="86"/>
      <c r="M1" s="86"/>
    </row>
    <row r="2" spans="2:13" x14ac:dyDescent="0.3">
      <c r="B2" s="86"/>
      <c r="C2" s="85"/>
      <c r="D2" s="86"/>
      <c r="E2" s="86"/>
      <c r="F2" s="86"/>
      <c r="G2" s="86"/>
      <c r="H2" s="100"/>
      <c r="I2" s="100"/>
      <c r="J2" s="86"/>
      <c r="K2" s="86"/>
      <c r="L2" s="86"/>
      <c r="M2" s="86"/>
    </row>
    <row r="3" spans="2:13" ht="46.15" customHeight="1" x14ac:dyDescent="0.3">
      <c r="B3" s="86"/>
      <c r="C3" s="85"/>
      <c r="D3" s="86"/>
      <c r="E3" s="86"/>
      <c r="F3" s="86"/>
      <c r="G3" s="86"/>
      <c r="H3" s="100"/>
      <c r="I3" s="100"/>
      <c r="J3" s="86"/>
      <c r="K3" s="86"/>
      <c r="L3" s="86"/>
      <c r="M3" s="86"/>
    </row>
    <row r="4" spans="2:13" ht="24.75" customHeight="1" x14ac:dyDescent="0.3">
      <c r="B4" s="94" t="s">
        <v>130</v>
      </c>
      <c r="C4" s="95" t="s">
        <v>132</v>
      </c>
      <c r="D4" s="94" t="s">
        <v>45</v>
      </c>
      <c r="E4" s="94" t="s">
        <v>1</v>
      </c>
      <c r="F4" s="94" t="s">
        <v>234</v>
      </c>
      <c r="G4" s="94" t="s">
        <v>235</v>
      </c>
      <c r="H4" s="101" t="s">
        <v>46</v>
      </c>
      <c r="I4" s="101" t="s">
        <v>48</v>
      </c>
      <c r="J4" s="94" t="s">
        <v>47</v>
      </c>
      <c r="K4" s="94" t="s">
        <v>128</v>
      </c>
      <c r="L4" s="94" t="s">
        <v>50</v>
      </c>
      <c r="M4" s="94" t="s">
        <v>131</v>
      </c>
    </row>
    <row r="5" spans="2:13" ht="82.5" x14ac:dyDescent="0.3">
      <c r="B5" s="87">
        <v>1</v>
      </c>
      <c r="C5" s="88" t="s">
        <v>156</v>
      </c>
      <c r="D5" s="87" t="s">
        <v>14</v>
      </c>
      <c r="E5" s="87">
        <v>1</v>
      </c>
      <c r="F5" s="87" t="s">
        <v>236</v>
      </c>
      <c r="G5" s="87" t="s">
        <v>237</v>
      </c>
      <c r="H5" s="89">
        <v>43191</v>
      </c>
      <c r="I5" s="89">
        <v>43279</v>
      </c>
      <c r="J5" s="87">
        <v>88</v>
      </c>
      <c r="K5" s="87" t="s">
        <v>15</v>
      </c>
      <c r="L5" s="90" t="s">
        <v>160</v>
      </c>
      <c r="M5" s="87" t="s">
        <v>127</v>
      </c>
    </row>
    <row r="6" spans="2:13" ht="82.5" x14ac:dyDescent="0.3">
      <c r="B6" s="96">
        <v>3</v>
      </c>
      <c r="C6" s="97" t="s">
        <v>177</v>
      </c>
      <c r="D6" s="96" t="s">
        <v>14</v>
      </c>
      <c r="E6" s="96">
        <v>1</v>
      </c>
      <c r="F6" s="96" t="s">
        <v>236</v>
      </c>
      <c r="G6" s="96" t="s">
        <v>237</v>
      </c>
      <c r="H6" s="98">
        <v>44805</v>
      </c>
      <c r="I6" s="98">
        <v>44895</v>
      </c>
      <c r="J6" s="96">
        <v>90</v>
      </c>
      <c r="K6" s="96" t="s">
        <v>18</v>
      </c>
      <c r="L6" s="99" t="s">
        <v>176</v>
      </c>
      <c r="M6" s="96" t="s">
        <v>127</v>
      </c>
    </row>
    <row r="7" spans="2:13" ht="99" x14ac:dyDescent="0.3">
      <c r="B7" s="96">
        <v>6</v>
      </c>
      <c r="C7" s="97" t="s">
        <v>165</v>
      </c>
      <c r="D7" s="96" t="s">
        <v>14</v>
      </c>
      <c r="E7" s="96">
        <v>2</v>
      </c>
      <c r="F7" s="96" t="s">
        <v>236</v>
      </c>
      <c r="G7" s="96" t="s">
        <v>237</v>
      </c>
      <c r="H7" s="98">
        <v>43586</v>
      </c>
      <c r="I7" s="98">
        <v>43616</v>
      </c>
      <c r="J7" s="96">
        <v>30</v>
      </c>
      <c r="K7" s="96" t="s">
        <v>16</v>
      </c>
      <c r="L7" s="99" t="s">
        <v>166</v>
      </c>
      <c r="M7" s="96" t="s">
        <v>127</v>
      </c>
    </row>
    <row r="8" spans="2:13" ht="115.5" x14ac:dyDescent="0.3">
      <c r="B8" s="96">
        <v>7</v>
      </c>
      <c r="C8" s="97" t="s">
        <v>173</v>
      </c>
      <c r="D8" s="96" t="s">
        <v>14</v>
      </c>
      <c r="E8" s="96">
        <v>3</v>
      </c>
      <c r="F8" s="96" t="s">
        <v>236</v>
      </c>
      <c r="G8" s="96" t="s">
        <v>237</v>
      </c>
      <c r="H8" s="98">
        <v>44440</v>
      </c>
      <c r="I8" s="98">
        <v>44530</v>
      </c>
      <c r="J8" s="96">
        <v>90</v>
      </c>
      <c r="K8" s="96" t="s">
        <v>18</v>
      </c>
      <c r="L8" s="99" t="s">
        <v>174</v>
      </c>
      <c r="M8" s="96" t="s">
        <v>127</v>
      </c>
    </row>
    <row r="9" spans="2:13" ht="115.5" x14ac:dyDescent="0.3">
      <c r="B9" s="96">
        <v>9</v>
      </c>
      <c r="C9" s="97" t="s">
        <v>170</v>
      </c>
      <c r="D9" s="96" t="s">
        <v>14</v>
      </c>
      <c r="E9" s="96">
        <v>2</v>
      </c>
      <c r="F9" s="96" t="s">
        <v>236</v>
      </c>
      <c r="G9" s="96" t="s">
        <v>237</v>
      </c>
      <c r="H9" s="98">
        <v>44044</v>
      </c>
      <c r="I9" s="98">
        <v>44132</v>
      </c>
      <c r="J9" s="96">
        <v>88</v>
      </c>
      <c r="K9" s="96" t="s">
        <v>18</v>
      </c>
      <c r="L9" s="99" t="s">
        <v>171</v>
      </c>
      <c r="M9" s="96" t="s">
        <v>127</v>
      </c>
    </row>
    <row r="10" spans="2:13" ht="66" x14ac:dyDescent="0.3">
      <c r="B10" s="96">
        <v>10</v>
      </c>
      <c r="C10" s="97" t="s">
        <v>179</v>
      </c>
      <c r="D10" s="96" t="s">
        <v>14</v>
      </c>
      <c r="E10" s="96">
        <v>4</v>
      </c>
      <c r="F10" s="96" t="s">
        <v>236</v>
      </c>
      <c r="G10" s="96" t="s">
        <v>237</v>
      </c>
      <c r="H10" s="98">
        <v>44652</v>
      </c>
      <c r="I10" s="98">
        <v>44681</v>
      </c>
      <c r="J10" s="96">
        <v>29</v>
      </c>
      <c r="K10" s="96" t="s">
        <v>16</v>
      </c>
      <c r="L10" s="99" t="s">
        <v>178</v>
      </c>
      <c r="M10" s="96" t="s">
        <v>127</v>
      </c>
    </row>
    <row r="11" spans="2:13" ht="165" x14ac:dyDescent="0.3">
      <c r="B11" s="96">
        <v>13</v>
      </c>
      <c r="C11" s="97" t="s">
        <v>100</v>
      </c>
      <c r="D11" s="96" t="s">
        <v>14</v>
      </c>
      <c r="E11" s="96">
        <v>4</v>
      </c>
      <c r="F11" s="96" t="s">
        <v>236</v>
      </c>
      <c r="G11" s="96" t="s">
        <v>237</v>
      </c>
      <c r="H11" s="98">
        <v>43678</v>
      </c>
      <c r="I11" s="98">
        <v>43766</v>
      </c>
      <c r="J11" s="96">
        <v>88</v>
      </c>
      <c r="K11" s="96" t="s">
        <v>18</v>
      </c>
      <c r="L11" s="99" t="s">
        <v>167</v>
      </c>
      <c r="M11" s="96" t="s">
        <v>127</v>
      </c>
    </row>
    <row r="12" spans="2:13" ht="49.5" x14ac:dyDescent="0.3">
      <c r="B12" s="96">
        <v>14</v>
      </c>
      <c r="C12" s="97" t="s">
        <v>168</v>
      </c>
      <c r="D12" s="96" t="s">
        <v>14</v>
      </c>
      <c r="E12" s="96">
        <v>3</v>
      </c>
      <c r="F12" s="96" t="s">
        <v>236</v>
      </c>
      <c r="G12" s="96" t="s">
        <v>237</v>
      </c>
      <c r="H12" s="98">
        <v>43922</v>
      </c>
      <c r="I12" s="98">
        <v>43949</v>
      </c>
      <c r="J12" s="96">
        <v>27</v>
      </c>
      <c r="K12" s="96" t="s">
        <v>16</v>
      </c>
      <c r="L12" s="99" t="s">
        <v>169</v>
      </c>
      <c r="M12" s="96" t="s">
        <v>127</v>
      </c>
    </row>
    <row r="13" spans="2:13" ht="99" x14ac:dyDescent="0.3">
      <c r="B13" s="96">
        <v>15</v>
      </c>
      <c r="C13" s="97" t="s">
        <v>175</v>
      </c>
      <c r="D13" s="96" t="s">
        <v>14</v>
      </c>
      <c r="E13" s="96">
        <v>4</v>
      </c>
      <c r="F13" s="96" t="s">
        <v>236</v>
      </c>
      <c r="G13" s="96" t="s">
        <v>237</v>
      </c>
      <c r="H13" s="98">
        <v>44501</v>
      </c>
      <c r="I13" s="98">
        <v>44530</v>
      </c>
      <c r="J13" s="96">
        <v>29</v>
      </c>
      <c r="K13" s="96" t="s">
        <v>16</v>
      </c>
      <c r="L13" s="99" t="s">
        <v>166</v>
      </c>
      <c r="M13" s="96" t="s">
        <v>127</v>
      </c>
    </row>
    <row r="14" spans="2:13" ht="49.5" x14ac:dyDescent="0.3">
      <c r="B14" s="96">
        <v>16</v>
      </c>
      <c r="C14" s="97" t="s">
        <v>182</v>
      </c>
      <c r="D14" s="96" t="s">
        <v>14</v>
      </c>
      <c r="E14" s="96">
        <v>4</v>
      </c>
      <c r="F14" s="96" t="s">
        <v>236</v>
      </c>
      <c r="G14" s="96" t="s">
        <v>237</v>
      </c>
      <c r="H14" s="98">
        <v>45200</v>
      </c>
      <c r="I14" s="98">
        <v>45260</v>
      </c>
      <c r="J14" s="96">
        <v>60</v>
      </c>
      <c r="K14" s="96" t="s">
        <v>16</v>
      </c>
      <c r="L14" s="99" t="s">
        <v>181</v>
      </c>
      <c r="M14" s="96" t="s">
        <v>127</v>
      </c>
    </row>
    <row r="15" spans="2:13" ht="49.5" x14ac:dyDescent="0.3">
      <c r="B15" s="96">
        <v>17</v>
      </c>
      <c r="C15" s="97" t="s">
        <v>187</v>
      </c>
      <c r="D15" s="96" t="s">
        <v>20</v>
      </c>
      <c r="E15" s="96">
        <v>1</v>
      </c>
      <c r="F15" s="96" t="s">
        <v>236</v>
      </c>
      <c r="G15" s="96" t="s">
        <v>237</v>
      </c>
      <c r="H15" s="98">
        <v>44256</v>
      </c>
      <c r="I15" s="98">
        <v>44286</v>
      </c>
      <c r="J15" s="96">
        <v>30</v>
      </c>
      <c r="K15" s="96" t="s">
        <v>16</v>
      </c>
      <c r="L15" s="99" t="s">
        <v>188</v>
      </c>
      <c r="M15" s="96" t="s">
        <v>127</v>
      </c>
    </row>
    <row r="16" spans="2:13" x14ac:dyDescent="0.3">
      <c r="B16" s="96">
        <v>18</v>
      </c>
      <c r="C16" s="97" t="s">
        <v>101</v>
      </c>
      <c r="D16" s="96" t="s">
        <v>20</v>
      </c>
      <c r="E16" s="96">
        <v>2</v>
      </c>
      <c r="F16" s="96" t="s">
        <v>236</v>
      </c>
      <c r="G16" s="96" t="s">
        <v>237</v>
      </c>
      <c r="H16" s="98">
        <v>43800</v>
      </c>
      <c r="I16" s="98">
        <v>43827</v>
      </c>
      <c r="J16" s="96">
        <v>27</v>
      </c>
      <c r="K16" s="96" t="s">
        <v>21</v>
      </c>
      <c r="L16" s="96"/>
      <c r="M16" s="96" t="s">
        <v>21</v>
      </c>
    </row>
    <row r="17" spans="2:13" ht="49.5" x14ac:dyDescent="0.3">
      <c r="B17" s="96">
        <v>19</v>
      </c>
      <c r="C17" s="97" t="s">
        <v>186</v>
      </c>
      <c r="D17" s="96" t="s">
        <v>20</v>
      </c>
      <c r="E17" s="96">
        <v>2</v>
      </c>
      <c r="F17" s="96" t="s">
        <v>236</v>
      </c>
      <c r="G17" s="96" t="s">
        <v>237</v>
      </c>
      <c r="H17" s="98">
        <v>43922</v>
      </c>
      <c r="I17" s="98">
        <v>43982</v>
      </c>
      <c r="J17" s="96">
        <v>60</v>
      </c>
      <c r="K17" s="96" t="s">
        <v>15</v>
      </c>
      <c r="L17" s="99" t="s">
        <v>161</v>
      </c>
      <c r="M17" s="96" t="s">
        <v>127</v>
      </c>
    </row>
    <row r="18" spans="2:13" ht="49.5" x14ac:dyDescent="0.3">
      <c r="B18" s="96">
        <v>20</v>
      </c>
      <c r="C18" s="97" t="s">
        <v>162</v>
      </c>
      <c r="D18" s="96" t="s">
        <v>20</v>
      </c>
      <c r="E18" s="96">
        <v>3</v>
      </c>
      <c r="F18" s="96" t="s">
        <v>236</v>
      </c>
      <c r="G18" s="96" t="s">
        <v>237</v>
      </c>
      <c r="H18" s="98">
        <v>43313</v>
      </c>
      <c r="I18" s="98">
        <v>43419</v>
      </c>
      <c r="J18" s="96">
        <v>106</v>
      </c>
      <c r="K18" s="96" t="s">
        <v>15</v>
      </c>
      <c r="L18" s="99" t="s">
        <v>158</v>
      </c>
      <c r="M18" s="96" t="s">
        <v>127</v>
      </c>
    </row>
    <row r="19" spans="2:13" ht="49.5" x14ac:dyDescent="0.3">
      <c r="B19" s="96">
        <v>21</v>
      </c>
      <c r="C19" s="97" t="s">
        <v>189</v>
      </c>
      <c r="D19" s="96" t="s">
        <v>20</v>
      </c>
      <c r="E19" s="96">
        <v>3</v>
      </c>
      <c r="F19" s="96" t="s">
        <v>236</v>
      </c>
      <c r="G19" s="96" t="s">
        <v>237</v>
      </c>
      <c r="H19" s="98">
        <v>44317</v>
      </c>
      <c r="I19" s="98">
        <v>44347</v>
      </c>
      <c r="J19" s="96">
        <v>30</v>
      </c>
      <c r="K19" s="96" t="s">
        <v>16</v>
      </c>
      <c r="L19" s="99" t="s">
        <v>190</v>
      </c>
      <c r="M19" s="96" t="s">
        <v>127</v>
      </c>
    </row>
    <row r="20" spans="2:13" ht="49.5" x14ac:dyDescent="0.3">
      <c r="B20" s="96">
        <v>22</v>
      </c>
      <c r="C20" s="97" t="s">
        <v>185</v>
      </c>
      <c r="D20" s="96" t="s">
        <v>20</v>
      </c>
      <c r="E20" s="96">
        <v>4</v>
      </c>
      <c r="F20" s="96" t="s">
        <v>236</v>
      </c>
      <c r="G20" s="96" t="s">
        <v>237</v>
      </c>
      <c r="H20" s="98">
        <v>43525</v>
      </c>
      <c r="I20" s="98">
        <v>43583</v>
      </c>
      <c r="J20" s="96">
        <v>58</v>
      </c>
      <c r="K20" s="96" t="s">
        <v>15</v>
      </c>
      <c r="L20" s="99" t="s">
        <v>161</v>
      </c>
      <c r="M20" s="96" t="s">
        <v>127</v>
      </c>
    </row>
    <row r="21" spans="2:13" x14ac:dyDescent="0.3">
      <c r="B21" s="96">
        <v>23</v>
      </c>
      <c r="C21" s="97" t="s">
        <v>102</v>
      </c>
      <c r="D21" s="96" t="s">
        <v>22</v>
      </c>
      <c r="E21" s="96" t="s">
        <v>24</v>
      </c>
      <c r="F21" s="96" t="s">
        <v>236</v>
      </c>
      <c r="G21" s="96" t="s">
        <v>237</v>
      </c>
      <c r="H21" s="98">
        <v>43497</v>
      </c>
      <c r="I21" s="98">
        <v>43552</v>
      </c>
      <c r="J21" s="96">
        <v>55</v>
      </c>
      <c r="K21" s="96" t="s">
        <v>15</v>
      </c>
      <c r="L21" s="96"/>
      <c r="M21" s="96" t="s">
        <v>67</v>
      </c>
    </row>
    <row r="22" spans="2:13" x14ac:dyDescent="0.3">
      <c r="B22" s="96">
        <v>24</v>
      </c>
      <c r="C22" s="97" t="s">
        <v>140</v>
      </c>
      <c r="D22" s="96" t="s">
        <v>22</v>
      </c>
      <c r="E22" s="96" t="s">
        <v>25</v>
      </c>
      <c r="F22" s="96" t="s">
        <v>236</v>
      </c>
      <c r="G22" s="96" t="s">
        <v>237</v>
      </c>
      <c r="H22" s="98">
        <v>43709</v>
      </c>
      <c r="I22" s="98">
        <v>43766</v>
      </c>
      <c r="J22" s="96">
        <v>57</v>
      </c>
      <c r="K22" s="96" t="s">
        <v>26</v>
      </c>
      <c r="L22" s="96"/>
      <c r="M22" s="96" t="s">
        <v>67</v>
      </c>
    </row>
    <row r="23" spans="2:13" x14ac:dyDescent="0.3">
      <c r="B23" s="96">
        <v>25</v>
      </c>
      <c r="C23" s="97" t="s">
        <v>103</v>
      </c>
      <c r="D23" s="96" t="s">
        <v>22</v>
      </c>
      <c r="E23" s="96" t="s">
        <v>27</v>
      </c>
      <c r="F23" s="96" t="s">
        <v>236</v>
      </c>
      <c r="G23" s="96" t="s">
        <v>237</v>
      </c>
      <c r="H23" s="98">
        <v>44440</v>
      </c>
      <c r="I23" s="98">
        <v>44497</v>
      </c>
      <c r="J23" s="96">
        <v>57</v>
      </c>
      <c r="K23" s="96" t="s">
        <v>26</v>
      </c>
      <c r="L23" s="96"/>
      <c r="M23" s="96" t="s">
        <v>127</v>
      </c>
    </row>
    <row r="24" spans="2:13" x14ac:dyDescent="0.3">
      <c r="B24" s="96">
        <v>26</v>
      </c>
      <c r="C24" s="97" t="s">
        <v>157</v>
      </c>
      <c r="D24" s="96" t="s">
        <v>28</v>
      </c>
      <c r="E24" s="96">
        <v>5</v>
      </c>
      <c r="F24" s="96" t="s">
        <v>236</v>
      </c>
      <c r="G24" s="96" t="s">
        <v>237</v>
      </c>
      <c r="H24" s="98">
        <v>43344</v>
      </c>
      <c r="I24" s="98">
        <v>43398</v>
      </c>
      <c r="J24" s="96">
        <v>54</v>
      </c>
      <c r="K24" s="96" t="s">
        <v>15</v>
      </c>
      <c r="L24" s="96"/>
      <c r="M24" s="96" t="s">
        <v>62</v>
      </c>
    </row>
    <row r="25" spans="2:13" x14ac:dyDescent="0.3">
      <c r="B25" s="96">
        <v>27</v>
      </c>
      <c r="C25" s="97" t="s">
        <v>104</v>
      </c>
      <c r="D25" s="96" t="s">
        <v>28</v>
      </c>
      <c r="E25" s="96">
        <v>5</v>
      </c>
      <c r="F25" s="96" t="s">
        <v>236</v>
      </c>
      <c r="G25" s="96" t="s">
        <v>237</v>
      </c>
      <c r="H25" s="98">
        <v>43709</v>
      </c>
      <c r="I25" s="98">
        <v>43736</v>
      </c>
      <c r="J25" s="96">
        <v>27</v>
      </c>
      <c r="K25" s="96" t="s">
        <v>16</v>
      </c>
      <c r="L25" s="96"/>
      <c r="M25" s="96" t="s">
        <v>127</v>
      </c>
    </row>
    <row r="26" spans="2:13" x14ac:dyDescent="0.3">
      <c r="B26" s="96">
        <v>28</v>
      </c>
      <c r="C26" s="97" t="s">
        <v>151</v>
      </c>
      <c r="D26" s="96" t="s">
        <v>28</v>
      </c>
      <c r="E26" s="96">
        <v>6</v>
      </c>
      <c r="F26" s="96" t="s">
        <v>236</v>
      </c>
      <c r="G26" s="96" t="s">
        <v>237</v>
      </c>
      <c r="H26" s="98">
        <v>43160</v>
      </c>
      <c r="I26" s="98">
        <v>43187</v>
      </c>
      <c r="J26" s="96">
        <v>27</v>
      </c>
      <c r="K26" s="96" t="s">
        <v>16</v>
      </c>
      <c r="L26" s="96"/>
      <c r="M26" s="96" t="s">
        <v>127</v>
      </c>
    </row>
    <row r="27" spans="2:13" x14ac:dyDescent="0.3">
      <c r="B27" s="96">
        <v>29</v>
      </c>
      <c r="C27" s="97" t="s">
        <v>105</v>
      </c>
      <c r="D27" s="96" t="s">
        <v>28</v>
      </c>
      <c r="E27" s="96">
        <v>6</v>
      </c>
      <c r="F27" s="96" t="s">
        <v>236</v>
      </c>
      <c r="G27" s="96" t="s">
        <v>237</v>
      </c>
      <c r="H27" s="98">
        <v>43556</v>
      </c>
      <c r="I27" s="98">
        <v>43583</v>
      </c>
      <c r="J27" s="96">
        <v>27</v>
      </c>
      <c r="K27" s="96" t="s">
        <v>16</v>
      </c>
      <c r="L27" s="96"/>
      <c r="M27" s="96" t="s">
        <v>127</v>
      </c>
    </row>
    <row r="28" spans="2:13" x14ac:dyDescent="0.3">
      <c r="B28" s="96">
        <v>30</v>
      </c>
      <c r="C28" s="97" t="s">
        <v>106</v>
      </c>
      <c r="D28" s="96" t="s">
        <v>28</v>
      </c>
      <c r="E28" s="96">
        <v>6</v>
      </c>
      <c r="F28" s="96" t="s">
        <v>236</v>
      </c>
      <c r="G28" s="96" t="s">
        <v>237</v>
      </c>
      <c r="H28" s="98">
        <v>43891</v>
      </c>
      <c r="I28" s="98">
        <v>43979</v>
      </c>
      <c r="J28" s="96">
        <v>88</v>
      </c>
      <c r="K28" s="96" t="s">
        <v>26</v>
      </c>
      <c r="L28" s="96"/>
      <c r="M28" s="96" t="s">
        <v>127</v>
      </c>
    </row>
    <row r="29" spans="2:13" x14ac:dyDescent="0.3">
      <c r="B29" s="96">
        <v>31</v>
      </c>
      <c r="C29" s="97" t="s">
        <v>193</v>
      </c>
      <c r="D29" s="96" t="s">
        <v>29</v>
      </c>
      <c r="E29" s="96">
        <v>1</v>
      </c>
      <c r="F29" s="96" t="s">
        <v>236</v>
      </c>
      <c r="G29" s="96" t="s">
        <v>237</v>
      </c>
      <c r="H29" s="98">
        <v>44105</v>
      </c>
      <c r="I29" s="98">
        <v>44166</v>
      </c>
      <c r="J29" s="96">
        <v>61</v>
      </c>
      <c r="K29" s="96" t="s">
        <v>26</v>
      </c>
      <c r="L29" s="96" t="s">
        <v>194</v>
      </c>
      <c r="M29" s="96" t="s">
        <v>127</v>
      </c>
    </row>
    <row r="30" spans="2:13" ht="409.5" x14ac:dyDescent="0.3">
      <c r="B30" s="96">
        <v>32</v>
      </c>
      <c r="C30" s="97" t="s">
        <v>152</v>
      </c>
      <c r="D30" s="96" t="s">
        <v>29</v>
      </c>
      <c r="E30" s="96">
        <v>2</v>
      </c>
      <c r="F30" s="96" t="s">
        <v>236</v>
      </c>
      <c r="G30" s="96" t="s">
        <v>237</v>
      </c>
      <c r="H30" s="98">
        <v>43756</v>
      </c>
      <c r="I30" s="98">
        <v>43775</v>
      </c>
      <c r="J30" s="96">
        <v>19</v>
      </c>
      <c r="K30" s="96" t="s">
        <v>16</v>
      </c>
      <c r="L30" s="99" t="s">
        <v>192</v>
      </c>
      <c r="M30" s="96" t="s">
        <v>127</v>
      </c>
    </row>
    <row r="31" spans="2:13" x14ac:dyDescent="0.3">
      <c r="B31" s="96">
        <v>33</v>
      </c>
      <c r="C31" s="97" t="s">
        <v>195</v>
      </c>
      <c r="D31" s="96" t="s">
        <v>29</v>
      </c>
      <c r="E31" s="96">
        <v>2</v>
      </c>
      <c r="F31" s="96" t="s">
        <v>236</v>
      </c>
      <c r="G31" s="96" t="s">
        <v>237</v>
      </c>
      <c r="H31" s="98">
        <v>44470</v>
      </c>
      <c r="I31" s="98">
        <v>44531</v>
      </c>
      <c r="J31" s="96">
        <v>61</v>
      </c>
      <c r="K31" s="96" t="s">
        <v>26</v>
      </c>
      <c r="L31" s="96" t="s">
        <v>194</v>
      </c>
      <c r="M31" s="96" t="s">
        <v>127</v>
      </c>
    </row>
    <row r="32" spans="2:13" ht="33" x14ac:dyDescent="0.3">
      <c r="B32" s="96">
        <v>34</v>
      </c>
      <c r="C32" s="97" t="s">
        <v>141</v>
      </c>
      <c r="D32" s="96" t="s">
        <v>137</v>
      </c>
      <c r="E32" s="96" t="s">
        <v>138</v>
      </c>
      <c r="F32" s="96" t="s">
        <v>236</v>
      </c>
      <c r="G32" s="96" t="s">
        <v>237</v>
      </c>
      <c r="H32" s="98">
        <v>43556</v>
      </c>
      <c r="I32" s="98">
        <v>43613</v>
      </c>
      <c r="J32" s="96">
        <v>57</v>
      </c>
      <c r="K32" s="96" t="s">
        <v>16</v>
      </c>
      <c r="L32" s="99" t="s">
        <v>163</v>
      </c>
      <c r="M32" s="96" t="s">
        <v>127</v>
      </c>
    </row>
    <row r="33" spans="2:13" ht="66" x14ac:dyDescent="0.3">
      <c r="B33" s="96">
        <v>35</v>
      </c>
      <c r="C33" s="97" t="s">
        <v>153</v>
      </c>
      <c r="D33" s="96" t="s">
        <v>31</v>
      </c>
      <c r="E33" s="96">
        <v>1</v>
      </c>
      <c r="F33" s="96" t="s">
        <v>236</v>
      </c>
      <c r="G33" s="96" t="s">
        <v>237</v>
      </c>
      <c r="H33" s="98">
        <v>43221</v>
      </c>
      <c r="I33" s="98">
        <v>43248</v>
      </c>
      <c r="J33" s="96">
        <v>27</v>
      </c>
      <c r="K33" s="96" t="s">
        <v>16</v>
      </c>
      <c r="L33" s="99" t="s">
        <v>154</v>
      </c>
      <c r="M33" s="96" t="s">
        <v>127</v>
      </c>
    </row>
    <row r="34" spans="2:13" x14ac:dyDescent="0.3">
      <c r="B34" s="96">
        <v>36</v>
      </c>
      <c r="C34" s="97" t="s">
        <v>107</v>
      </c>
      <c r="D34" s="96" t="s">
        <v>31</v>
      </c>
      <c r="E34" s="96">
        <v>1</v>
      </c>
      <c r="F34" s="96" t="s">
        <v>236</v>
      </c>
      <c r="G34" s="96" t="s">
        <v>237</v>
      </c>
      <c r="H34" s="98">
        <v>43405</v>
      </c>
      <c r="I34" s="98">
        <v>43432</v>
      </c>
      <c r="J34" s="96">
        <v>27</v>
      </c>
      <c r="K34" s="96" t="s">
        <v>16</v>
      </c>
      <c r="L34" s="96"/>
      <c r="M34" s="96" t="s">
        <v>127</v>
      </c>
    </row>
    <row r="35" spans="2:13" x14ac:dyDescent="0.3">
      <c r="B35" s="96">
        <v>37</v>
      </c>
      <c r="C35" s="97" t="s">
        <v>108</v>
      </c>
      <c r="D35" s="96" t="s">
        <v>31</v>
      </c>
      <c r="E35" s="96">
        <v>1</v>
      </c>
      <c r="F35" s="96" t="s">
        <v>236</v>
      </c>
      <c r="G35" s="96" t="s">
        <v>237</v>
      </c>
      <c r="H35" s="98">
        <v>43586</v>
      </c>
      <c r="I35" s="98">
        <v>43613</v>
      </c>
      <c r="J35" s="96">
        <v>27</v>
      </c>
      <c r="K35" s="96" t="s">
        <v>16</v>
      </c>
      <c r="L35" s="96"/>
      <c r="M35" s="96" t="s">
        <v>127</v>
      </c>
    </row>
    <row r="36" spans="2:13" x14ac:dyDescent="0.3">
      <c r="B36" s="96">
        <v>38</v>
      </c>
      <c r="C36" s="97" t="s">
        <v>109</v>
      </c>
      <c r="D36" s="96" t="s">
        <v>31</v>
      </c>
      <c r="E36" s="96">
        <v>1</v>
      </c>
      <c r="F36" s="96" t="s">
        <v>236</v>
      </c>
      <c r="G36" s="96" t="s">
        <v>237</v>
      </c>
      <c r="H36" s="98">
        <v>43770</v>
      </c>
      <c r="I36" s="98">
        <v>43797</v>
      </c>
      <c r="J36" s="96">
        <v>27</v>
      </c>
      <c r="K36" s="96" t="s">
        <v>16</v>
      </c>
      <c r="L36" s="96"/>
      <c r="M36" s="96" t="s">
        <v>127</v>
      </c>
    </row>
    <row r="37" spans="2:13" x14ac:dyDescent="0.3">
      <c r="B37" s="96">
        <v>39</v>
      </c>
      <c r="C37" s="97" t="s">
        <v>196</v>
      </c>
      <c r="D37" s="96" t="s">
        <v>31</v>
      </c>
      <c r="E37" s="96">
        <v>1</v>
      </c>
      <c r="F37" s="96" t="s">
        <v>236</v>
      </c>
      <c r="G37" s="96" t="s">
        <v>237</v>
      </c>
      <c r="H37" s="98">
        <v>44014</v>
      </c>
      <c r="I37" s="98">
        <v>44084</v>
      </c>
      <c r="J37" s="96">
        <v>70</v>
      </c>
      <c r="K37" s="96" t="s">
        <v>15</v>
      </c>
      <c r="L37" s="96" t="s">
        <v>197</v>
      </c>
      <c r="M37" s="96" t="s">
        <v>62</v>
      </c>
    </row>
    <row r="38" spans="2:13" x14ac:dyDescent="0.3">
      <c r="B38" s="96">
        <v>40</v>
      </c>
      <c r="C38" s="97" t="s">
        <v>198</v>
      </c>
      <c r="D38" s="96" t="s">
        <v>31</v>
      </c>
      <c r="E38" s="96">
        <v>1</v>
      </c>
      <c r="F38" s="96" t="s">
        <v>236</v>
      </c>
      <c r="G38" s="96" t="s">
        <v>237</v>
      </c>
      <c r="H38" s="98">
        <v>44343</v>
      </c>
      <c r="I38" s="98">
        <v>44351</v>
      </c>
      <c r="J38" s="96">
        <v>8</v>
      </c>
      <c r="K38" s="96" t="s">
        <v>16</v>
      </c>
      <c r="L38" s="96" t="s">
        <v>199</v>
      </c>
      <c r="M38" s="96" t="s">
        <v>67</v>
      </c>
    </row>
    <row r="39" spans="2:13" x14ac:dyDescent="0.3">
      <c r="B39" s="96">
        <v>41</v>
      </c>
      <c r="C39" s="97" t="s">
        <v>155</v>
      </c>
      <c r="D39" s="96" t="s">
        <v>31</v>
      </c>
      <c r="E39" s="96">
        <v>2</v>
      </c>
      <c r="F39" s="96" t="s">
        <v>236</v>
      </c>
      <c r="G39" s="96" t="s">
        <v>237</v>
      </c>
      <c r="H39" s="98">
        <v>43191</v>
      </c>
      <c r="I39" s="98">
        <v>43218</v>
      </c>
      <c r="J39" s="96">
        <v>27</v>
      </c>
      <c r="K39" s="96" t="s">
        <v>16</v>
      </c>
      <c r="L39" s="96"/>
      <c r="M39" s="96" t="s">
        <v>127</v>
      </c>
    </row>
    <row r="40" spans="2:13" x14ac:dyDescent="0.3">
      <c r="B40" s="96">
        <v>42</v>
      </c>
      <c r="C40" s="97" t="s">
        <v>110</v>
      </c>
      <c r="D40" s="96" t="s">
        <v>31</v>
      </c>
      <c r="E40" s="96">
        <v>2</v>
      </c>
      <c r="F40" s="96" t="s">
        <v>236</v>
      </c>
      <c r="G40" s="96" t="s">
        <v>237</v>
      </c>
      <c r="H40" s="98">
        <v>43435</v>
      </c>
      <c r="I40" s="98">
        <v>43462</v>
      </c>
      <c r="J40" s="96">
        <v>27</v>
      </c>
      <c r="K40" s="96" t="s">
        <v>16</v>
      </c>
      <c r="L40" s="96"/>
      <c r="M40" s="96" t="s">
        <v>127</v>
      </c>
    </row>
    <row r="41" spans="2:13" x14ac:dyDescent="0.3">
      <c r="B41" s="96">
        <v>43</v>
      </c>
      <c r="C41" s="97" t="s">
        <v>111</v>
      </c>
      <c r="D41" s="96" t="s">
        <v>31</v>
      </c>
      <c r="E41" s="96">
        <v>2</v>
      </c>
      <c r="F41" s="96" t="s">
        <v>236</v>
      </c>
      <c r="G41" s="96" t="s">
        <v>237</v>
      </c>
      <c r="H41" s="98">
        <v>43556</v>
      </c>
      <c r="I41" s="98">
        <v>43583</v>
      </c>
      <c r="J41" s="96">
        <v>27</v>
      </c>
      <c r="K41" s="96" t="s">
        <v>16</v>
      </c>
      <c r="L41" s="96"/>
      <c r="M41" s="96" t="s">
        <v>127</v>
      </c>
    </row>
    <row r="42" spans="2:13" x14ac:dyDescent="0.3">
      <c r="B42" s="96">
        <v>44</v>
      </c>
      <c r="C42" s="97" t="s">
        <v>202</v>
      </c>
      <c r="D42" s="96" t="s">
        <v>31</v>
      </c>
      <c r="E42" s="96">
        <v>2</v>
      </c>
      <c r="F42" s="96" t="s">
        <v>236</v>
      </c>
      <c r="G42" s="96" t="s">
        <v>237</v>
      </c>
      <c r="H42" s="98">
        <v>43720</v>
      </c>
      <c r="I42" s="98">
        <v>43744</v>
      </c>
      <c r="J42" s="96">
        <v>24</v>
      </c>
      <c r="K42" s="96" t="s">
        <v>16</v>
      </c>
      <c r="L42" s="96" t="s">
        <v>203</v>
      </c>
      <c r="M42" s="96" t="s">
        <v>67</v>
      </c>
    </row>
    <row r="43" spans="2:13" x14ac:dyDescent="0.3">
      <c r="B43" s="96">
        <v>45</v>
      </c>
      <c r="C43" s="97" t="s">
        <v>204</v>
      </c>
      <c r="D43" s="96" t="s">
        <v>31</v>
      </c>
      <c r="E43" s="96">
        <v>2</v>
      </c>
      <c r="F43" s="96" t="s">
        <v>236</v>
      </c>
      <c r="G43" s="96" t="s">
        <v>237</v>
      </c>
      <c r="H43" s="98">
        <v>44021</v>
      </c>
      <c r="I43" s="98">
        <v>44029</v>
      </c>
      <c r="J43" s="96">
        <v>8</v>
      </c>
      <c r="K43" s="96" t="s">
        <v>16</v>
      </c>
      <c r="L43" s="96" t="s">
        <v>205</v>
      </c>
      <c r="M43" s="96" t="s">
        <v>67</v>
      </c>
    </row>
    <row r="44" spans="2:13" x14ac:dyDescent="0.3">
      <c r="B44" s="96">
        <v>46</v>
      </c>
      <c r="C44" s="97" t="s">
        <v>206</v>
      </c>
      <c r="D44" s="96" t="s">
        <v>31</v>
      </c>
      <c r="E44" s="96">
        <v>2</v>
      </c>
      <c r="F44" s="96" t="s">
        <v>236</v>
      </c>
      <c r="G44" s="96" t="s">
        <v>237</v>
      </c>
      <c r="H44" s="98">
        <v>44378</v>
      </c>
      <c r="I44" s="98">
        <v>44448</v>
      </c>
      <c r="J44" s="96">
        <v>70</v>
      </c>
      <c r="K44" s="96" t="s">
        <v>15</v>
      </c>
      <c r="L44" s="96" t="s">
        <v>207</v>
      </c>
      <c r="M44" s="96" t="s">
        <v>62</v>
      </c>
    </row>
    <row r="45" spans="2:13" ht="99" x14ac:dyDescent="0.3">
      <c r="B45" s="96">
        <v>47</v>
      </c>
      <c r="C45" s="97" t="s">
        <v>142</v>
      </c>
      <c r="D45" s="96" t="s">
        <v>31</v>
      </c>
      <c r="E45" s="96">
        <v>3</v>
      </c>
      <c r="F45" s="96" t="s">
        <v>236</v>
      </c>
      <c r="G45" s="96" t="s">
        <v>237</v>
      </c>
      <c r="H45" s="98">
        <v>43313</v>
      </c>
      <c r="I45" s="98">
        <v>43355</v>
      </c>
      <c r="J45" s="96">
        <v>42</v>
      </c>
      <c r="K45" s="96" t="s">
        <v>15</v>
      </c>
      <c r="L45" s="99" t="s">
        <v>164</v>
      </c>
      <c r="M45" s="96" t="s">
        <v>127</v>
      </c>
    </row>
    <row r="46" spans="2:13" x14ac:dyDescent="0.3">
      <c r="B46" s="96">
        <v>48</v>
      </c>
      <c r="C46" s="97" t="s">
        <v>112</v>
      </c>
      <c r="D46" s="96" t="s">
        <v>31</v>
      </c>
      <c r="E46" s="96">
        <v>3</v>
      </c>
      <c r="F46" s="96" t="s">
        <v>236</v>
      </c>
      <c r="G46" s="96" t="s">
        <v>237</v>
      </c>
      <c r="H46" s="98">
        <v>43556</v>
      </c>
      <c r="I46" s="98">
        <v>43583</v>
      </c>
      <c r="J46" s="96">
        <v>27</v>
      </c>
      <c r="K46" s="96" t="s">
        <v>16</v>
      </c>
      <c r="L46" s="96"/>
      <c r="M46" s="96" t="s">
        <v>67</v>
      </c>
    </row>
    <row r="47" spans="2:13" x14ac:dyDescent="0.3">
      <c r="B47" s="96">
        <v>49</v>
      </c>
      <c r="C47" s="97" t="s">
        <v>113</v>
      </c>
      <c r="D47" s="96" t="s">
        <v>31</v>
      </c>
      <c r="E47" s="96">
        <v>3</v>
      </c>
      <c r="F47" s="96" t="s">
        <v>236</v>
      </c>
      <c r="G47" s="96" t="s">
        <v>237</v>
      </c>
      <c r="H47" s="98">
        <v>43709</v>
      </c>
      <c r="I47" s="98">
        <v>43736</v>
      </c>
      <c r="J47" s="96">
        <v>27</v>
      </c>
      <c r="K47" s="96" t="s">
        <v>16</v>
      </c>
      <c r="L47" s="96"/>
      <c r="M47" s="96" t="s">
        <v>67</v>
      </c>
    </row>
    <row r="48" spans="2:13" x14ac:dyDescent="0.3">
      <c r="B48" s="96">
        <v>50</v>
      </c>
      <c r="C48" s="97" t="s">
        <v>210</v>
      </c>
      <c r="D48" s="96" t="s">
        <v>31</v>
      </c>
      <c r="E48" s="96">
        <v>3</v>
      </c>
      <c r="F48" s="96" t="s">
        <v>236</v>
      </c>
      <c r="G48" s="96" t="s">
        <v>237</v>
      </c>
      <c r="H48" s="98">
        <v>43846</v>
      </c>
      <c r="I48" s="98">
        <v>43854</v>
      </c>
      <c r="J48" s="96">
        <v>8</v>
      </c>
      <c r="K48" s="96" t="s">
        <v>16</v>
      </c>
      <c r="L48" s="96" t="s">
        <v>218</v>
      </c>
      <c r="M48" s="96" t="s">
        <v>62</v>
      </c>
    </row>
    <row r="49" spans="2:13" x14ac:dyDescent="0.3">
      <c r="B49" s="96">
        <v>51</v>
      </c>
      <c r="C49" s="97" t="s">
        <v>211</v>
      </c>
      <c r="D49" s="96" t="s">
        <v>31</v>
      </c>
      <c r="E49" s="96">
        <v>3</v>
      </c>
      <c r="F49" s="96" t="s">
        <v>236</v>
      </c>
      <c r="G49" s="96" t="s">
        <v>237</v>
      </c>
      <c r="H49" s="98">
        <v>44161</v>
      </c>
      <c r="I49" s="98">
        <v>44169</v>
      </c>
      <c r="J49" s="96">
        <v>8</v>
      </c>
      <c r="K49" s="96" t="s">
        <v>16</v>
      </c>
      <c r="L49" s="96" t="s">
        <v>212</v>
      </c>
      <c r="M49" s="96" t="s">
        <v>67</v>
      </c>
    </row>
    <row r="50" spans="2:13" x14ac:dyDescent="0.3">
      <c r="B50" s="96">
        <v>52</v>
      </c>
      <c r="C50" s="97" t="s">
        <v>143</v>
      </c>
      <c r="D50" s="96" t="s">
        <v>31</v>
      </c>
      <c r="E50" s="96">
        <v>4</v>
      </c>
      <c r="F50" s="96" t="s">
        <v>236</v>
      </c>
      <c r="G50" s="96" t="s">
        <v>237</v>
      </c>
      <c r="H50" s="98">
        <v>43160</v>
      </c>
      <c r="I50" s="98">
        <v>43187</v>
      </c>
      <c r="J50" s="96">
        <v>27</v>
      </c>
      <c r="K50" s="96" t="s">
        <v>16</v>
      </c>
      <c r="L50" s="96"/>
      <c r="M50" s="96" t="s">
        <v>127</v>
      </c>
    </row>
    <row r="51" spans="2:13" x14ac:dyDescent="0.3">
      <c r="B51" s="96">
        <v>53</v>
      </c>
      <c r="C51" s="97" t="s">
        <v>144</v>
      </c>
      <c r="D51" s="96" t="s">
        <v>31</v>
      </c>
      <c r="E51" s="96">
        <v>4</v>
      </c>
      <c r="F51" s="96" t="s">
        <v>236</v>
      </c>
      <c r="G51" s="96" t="s">
        <v>237</v>
      </c>
      <c r="H51" s="98">
        <v>43282</v>
      </c>
      <c r="I51" s="98">
        <v>43309</v>
      </c>
      <c r="J51" s="96">
        <v>27</v>
      </c>
      <c r="K51" s="96" t="s">
        <v>16</v>
      </c>
      <c r="L51" s="96"/>
      <c r="M51" s="96" t="s">
        <v>127</v>
      </c>
    </row>
    <row r="52" spans="2:13" x14ac:dyDescent="0.3">
      <c r="B52" s="96">
        <v>54</v>
      </c>
      <c r="C52" s="97" t="s">
        <v>114</v>
      </c>
      <c r="D52" s="96" t="s">
        <v>31</v>
      </c>
      <c r="E52" s="96">
        <v>4</v>
      </c>
      <c r="F52" s="96" t="s">
        <v>236</v>
      </c>
      <c r="G52" s="96" t="s">
        <v>237</v>
      </c>
      <c r="H52" s="98">
        <v>43466</v>
      </c>
      <c r="I52" s="98">
        <v>43493</v>
      </c>
      <c r="J52" s="96">
        <v>27</v>
      </c>
      <c r="K52" s="96" t="s">
        <v>16</v>
      </c>
      <c r="L52" s="96"/>
      <c r="M52" s="96" t="s">
        <v>127</v>
      </c>
    </row>
    <row r="53" spans="2:13" x14ac:dyDescent="0.3">
      <c r="B53" s="96">
        <v>55</v>
      </c>
      <c r="C53" s="97" t="s">
        <v>115</v>
      </c>
      <c r="D53" s="96" t="s">
        <v>31</v>
      </c>
      <c r="E53" s="96">
        <v>4</v>
      </c>
      <c r="F53" s="96" t="s">
        <v>236</v>
      </c>
      <c r="G53" s="96" t="s">
        <v>237</v>
      </c>
      <c r="H53" s="98">
        <v>43647</v>
      </c>
      <c r="I53" s="98">
        <v>43674</v>
      </c>
      <c r="J53" s="96">
        <v>27</v>
      </c>
      <c r="K53" s="96" t="s">
        <v>16</v>
      </c>
      <c r="L53" s="96"/>
      <c r="M53" s="96" t="s">
        <v>127</v>
      </c>
    </row>
    <row r="54" spans="2:13" x14ac:dyDescent="0.3">
      <c r="B54" s="96">
        <v>56</v>
      </c>
      <c r="C54" s="97" t="s">
        <v>116</v>
      </c>
      <c r="D54" s="96" t="s">
        <v>31</v>
      </c>
      <c r="E54" s="96">
        <v>4</v>
      </c>
      <c r="F54" s="96" t="s">
        <v>236</v>
      </c>
      <c r="G54" s="96" t="s">
        <v>237</v>
      </c>
      <c r="H54" s="98">
        <v>43804</v>
      </c>
      <c r="I54" s="98">
        <v>43812</v>
      </c>
      <c r="J54" s="96">
        <v>8</v>
      </c>
      <c r="K54" s="96" t="s">
        <v>16</v>
      </c>
      <c r="L54" s="96" t="s">
        <v>217</v>
      </c>
      <c r="M54" s="96" t="s">
        <v>67</v>
      </c>
    </row>
    <row r="55" spans="2:13" x14ac:dyDescent="0.3">
      <c r="B55" s="96">
        <v>57</v>
      </c>
      <c r="C55" s="97" t="s">
        <v>219</v>
      </c>
      <c r="D55" s="96" t="s">
        <v>31</v>
      </c>
      <c r="E55" s="96">
        <v>4</v>
      </c>
      <c r="F55" s="96" t="s">
        <v>236</v>
      </c>
      <c r="G55" s="96" t="s">
        <v>237</v>
      </c>
      <c r="H55" s="98">
        <v>44126</v>
      </c>
      <c r="I55" s="98">
        <v>44134</v>
      </c>
      <c r="J55" s="96">
        <v>8</v>
      </c>
      <c r="K55" s="96" t="s">
        <v>16</v>
      </c>
      <c r="L55" s="96" t="s">
        <v>220</v>
      </c>
      <c r="M55" s="96" t="s">
        <v>67</v>
      </c>
    </row>
    <row r="56" spans="2:13" x14ac:dyDescent="0.3">
      <c r="B56" s="96">
        <v>58</v>
      </c>
      <c r="C56" s="97" t="s">
        <v>221</v>
      </c>
      <c r="D56" s="96" t="s">
        <v>31</v>
      </c>
      <c r="E56" s="96">
        <v>4</v>
      </c>
      <c r="F56" s="96" t="s">
        <v>236</v>
      </c>
      <c r="G56" s="96" t="s">
        <v>237</v>
      </c>
      <c r="H56" s="98">
        <v>44483</v>
      </c>
      <c r="I56" s="98">
        <v>44498</v>
      </c>
      <c r="J56" s="96">
        <v>15</v>
      </c>
      <c r="K56" s="96" t="s">
        <v>16</v>
      </c>
      <c r="L56" s="96" t="s">
        <v>222</v>
      </c>
      <c r="M56" s="96" t="s">
        <v>67</v>
      </c>
    </row>
    <row r="57" spans="2:13" x14ac:dyDescent="0.3">
      <c r="B57" s="96">
        <v>59</v>
      </c>
      <c r="C57" s="97" t="s">
        <v>145</v>
      </c>
      <c r="D57" s="96" t="s">
        <v>32</v>
      </c>
      <c r="E57" s="96">
        <v>1</v>
      </c>
      <c r="F57" s="96" t="s">
        <v>236</v>
      </c>
      <c r="G57" s="96" t="s">
        <v>237</v>
      </c>
      <c r="H57" s="98">
        <v>43160</v>
      </c>
      <c r="I57" s="98">
        <v>43218</v>
      </c>
      <c r="J57" s="96">
        <v>58</v>
      </c>
      <c r="K57" s="96" t="s">
        <v>16</v>
      </c>
      <c r="L57" s="96" t="s">
        <v>146</v>
      </c>
      <c r="M57" s="96" t="s">
        <v>127</v>
      </c>
    </row>
    <row r="58" spans="2:13" x14ac:dyDescent="0.3">
      <c r="B58" s="96">
        <v>60</v>
      </c>
      <c r="C58" s="97" t="s">
        <v>117</v>
      </c>
      <c r="D58" s="96" t="s">
        <v>32</v>
      </c>
      <c r="E58" s="96">
        <v>1</v>
      </c>
      <c r="F58" s="96" t="s">
        <v>236</v>
      </c>
      <c r="G58" s="96" t="s">
        <v>237</v>
      </c>
      <c r="H58" s="98">
        <v>44440</v>
      </c>
      <c r="I58" s="98">
        <v>44528</v>
      </c>
      <c r="J58" s="96">
        <v>88</v>
      </c>
      <c r="K58" s="96" t="s">
        <v>15</v>
      </c>
      <c r="L58" s="96"/>
      <c r="M58" s="96" t="s">
        <v>127</v>
      </c>
    </row>
    <row r="59" spans="2:13" ht="66" x14ac:dyDescent="0.3">
      <c r="B59" s="96">
        <v>61</v>
      </c>
      <c r="C59" s="97" t="s">
        <v>118</v>
      </c>
      <c r="D59" s="96" t="s">
        <v>32</v>
      </c>
      <c r="E59" s="96">
        <v>2</v>
      </c>
      <c r="F59" s="96" t="s">
        <v>236</v>
      </c>
      <c r="G59" s="96" t="s">
        <v>237</v>
      </c>
      <c r="H59" s="98">
        <v>43344</v>
      </c>
      <c r="I59" s="98">
        <v>43401</v>
      </c>
      <c r="J59" s="96">
        <v>57</v>
      </c>
      <c r="K59" s="96" t="s">
        <v>15</v>
      </c>
      <c r="L59" s="99" t="s">
        <v>119</v>
      </c>
      <c r="M59" s="96" t="s">
        <v>127</v>
      </c>
    </row>
    <row r="60" spans="2:13" x14ac:dyDescent="0.3">
      <c r="B60" s="96">
        <v>62</v>
      </c>
      <c r="C60" s="97" t="s">
        <v>120</v>
      </c>
      <c r="D60" s="96" t="s">
        <v>32</v>
      </c>
      <c r="E60" s="96">
        <v>2</v>
      </c>
      <c r="F60" s="96" t="s">
        <v>236</v>
      </c>
      <c r="G60" s="96" t="s">
        <v>237</v>
      </c>
      <c r="H60" s="98">
        <v>44805</v>
      </c>
      <c r="I60" s="98">
        <v>44893</v>
      </c>
      <c r="J60" s="96">
        <v>88</v>
      </c>
      <c r="K60" s="96" t="s">
        <v>15</v>
      </c>
      <c r="L60" s="96"/>
      <c r="M60" s="96" t="s">
        <v>127</v>
      </c>
    </row>
    <row r="61" spans="2:13" x14ac:dyDescent="0.3">
      <c r="B61" s="96">
        <v>63</v>
      </c>
      <c r="C61" s="97" t="s">
        <v>121</v>
      </c>
      <c r="D61" s="96" t="s">
        <v>32</v>
      </c>
      <c r="E61" s="96">
        <v>3</v>
      </c>
      <c r="F61" s="96" t="s">
        <v>236</v>
      </c>
      <c r="G61" s="96" t="s">
        <v>237</v>
      </c>
      <c r="H61" s="98">
        <v>43709</v>
      </c>
      <c r="I61" s="98">
        <v>43797</v>
      </c>
      <c r="J61" s="96">
        <v>88</v>
      </c>
      <c r="K61" s="96" t="s">
        <v>33</v>
      </c>
      <c r="L61" s="96"/>
      <c r="M61" s="96" t="s">
        <v>127</v>
      </c>
    </row>
    <row r="62" spans="2:13" x14ac:dyDescent="0.3">
      <c r="B62" s="96">
        <v>64</v>
      </c>
      <c r="C62" s="97" t="s">
        <v>122</v>
      </c>
      <c r="D62" s="96" t="s">
        <v>32</v>
      </c>
      <c r="E62" s="96">
        <v>3</v>
      </c>
      <c r="F62" s="96" t="s">
        <v>236</v>
      </c>
      <c r="G62" s="96" t="s">
        <v>237</v>
      </c>
      <c r="H62" s="98">
        <v>45170</v>
      </c>
      <c r="I62" s="98">
        <v>45258</v>
      </c>
      <c r="J62" s="96">
        <v>88</v>
      </c>
      <c r="K62" s="96" t="s">
        <v>15</v>
      </c>
      <c r="L62" s="96"/>
      <c r="M62" s="96" t="s">
        <v>127</v>
      </c>
    </row>
    <row r="63" spans="2:13" x14ac:dyDescent="0.3">
      <c r="B63" s="96">
        <v>65</v>
      </c>
      <c r="C63" s="97" t="s">
        <v>123</v>
      </c>
      <c r="D63" s="96" t="s">
        <v>32</v>
      </c>
      <c r="E63" s="96">
        <v>4</v>
      </c>
      <c r="F63" s="96" t="s">
        <v>236</v>
      </c>
      <c r="G63" s="96" t="s">
        <v>237</v>
      </c>
      <c r="H63" s="98">
        <v>44075</v>
      </c>
      <c r="I63" s="98">
        <v>44153</v>
      </c>
      <c r="J63" s="96">
        <v>78</v>
      </c>
      <c r="K63" s="96" t="s">
        <v>15</v>
      </c>
      <c r="L63" s="96"/>
      <c r="M63" s="96" t="s">
        <v>127</v>
      </c>
    </row>
    <row r="64" spans="2:13" x14ac:dyDescent="0.3">
      <c r="B64" s="96">
        <v>66</v>
      </c>
      <c r="C64" s="97" t="s">
        <v>124</v>
      </c>
      <c r="D64" s="96" t="s">
        <v>32</v>
      </c>
      <c r="E64" s="96">
        <v>4</v>
      </c>
      <c r="F64" s="96" t="s">
        <v>236</v>
      </c>
      <c r="G64" s="96" t="s">
        <v>237</v>
      </c>
      <c r="H64" s="98">
        <v>45536</v>
      </c>
      <c r="I64" s="98">
        <v>45624</v>
      </c>
      <c r="J64" s="96">
        <v>88</v>
      </c>
      <c r="K64" s="96" t="s">
        <v>15</v>
      </c>
      <c r="L64" s="96"/>
      <c r="M64" s="96" t="s">
        <v>127</v>
      </c>
    </row>
    <row r="65" spans="2:13" s="85" customFormat="1" x14ac:dyDescent="0.3">
      <c r="B65" s="96">
        <v>67</v>
      </c>
      <c r="C65" s="97" t="s">
        <v>125</v>
      </c>
      <c r="D65" s="96" t="s">
        <v>34</v>
      </c>
      <c r="E65" s="96">
        <v>1</v>
      </c>
      <c r="F65" s="96" t="s">
        <v>236</v>
      </c>
      <c r="G65" s="96" t="s">
        <v>237</v>
      </c>
      <c r="H65" s="98">
        <v>44075</v>
      </c>
      <c r="I65" s="98">
        <v>44132</v>
      </c>
      <c r="J65" s="96">
        <v>57</v>
      </c>
      <c r="K65" s="96" t="s">
        <v>15</v>
      </c>
      <c r="L65" s="96"/>
      <c r="M65" s="96" t="s">
        <v>127</v>
      </c>
    </row>
    <row r="66" spans="2:13" s="85" customFormat="1" x14ac:dyDescent="0.3">
      <c r="B66" s="96">
        <v>68</v>
      </c>
      <c r="C66" s="97" t="s">
        <v>147</v>
      </c>
      <c r="D66" s="96" t="s">
        <v>35</v>
      </c>
      <c r="E66" s="96">
        <v>5</v>
      </c>
      <c r="F66" s="96" t="s">
        <v>236</v>
      </c>
      <c r="G66" s="96" t="s">
        <v>237</v>
      </c>
      <c r="H66" s="98">
        <v>43739</v>
      </c>
      <c r="I66" s="98">
        <v>43766</v>
      </c>
      <c r="J66" s="96">
        <v>27</v>
      </c>
      <c r="K66" s="96" t="s">
        <v>16</v>
      </c>
      <c r="L66" s="96"/>
      <c r="M66" s="96" t="s">
        <v>127</v>
      </c>
    </row>
    <row r="67" spans="2:13" s="85" customFormat="1" x14ac:dyDescent="0.3">
      <c r="B67" s="96">
        <v>69</v>
      </c>
      <c r="C67" s="97" t="s">
        <v>148</v>
      </c>
      <c r="D67" s="96" t="s">
        <v>35</v>
      </c>
      <c r="E67" s="96">
        <v>6</v>
      </c>
      <c r="F67" s="96" t="s">
        <v>236</v>
      </c>
      <c r="G67" s="96" t="s">
        <v>237</v>
      </c>
      <c r="H67" s="98">
        <v>43709</v>
      </c>
      <c r="I67" s="98">
        <v>43766</v>
      </c>
      <c r="J67" s="96">
        <v>57</v>
      </c>
      <c r="K67" s="96" t="s">
        <v>15</v>
      </c>
      <c r="L67" s="96"/>
      <c r="M67" s="96" t="s">
        <v>127</v>
      </c>
    </row>
    <row r="68" spans="2:13" s="85" customFormat="1" x14ac:dyDescent="0.3">
      <c r="B68" s="96">
        <v>70</v>
      </c>
      <c r="C68" s="97" t="s">
        <v>159</v>
      </c>
      <c r="D68" s="96" t="s">
        <v>35</v>
      </c>
      <c r="E68" s="96">
        <v>7</v>
      </c>
      <c r="F68" s="96" t="s">
        <v>236</v>
      </c>
      <c r="G68" s="96" t="s">
        <v>237</v>
      </c>
      <c r="H68" s="98">
        <v>43865</v>
      </c>
      <c r="I68" s="98">
        <v>44000</v>
      </c>
      <c r="J68" s="96">
        <v>135</v>
      </c>
      <c r="K68" s="96" t="s">
        <v>15</v>
      </c>
      <c r="L68" s="96"/>
      <c r="M68" s="96" t="s">
        <v>127</v>
      </c>
    </row>
    <row r="69" spans="2:13" s="85" customFormat="1" x14ac:dyDescent="0.3">
      <c r="B69" s="96">
        <v>71</v>
      </c>
      <c r="C69" s="97" t="s">
        <v>149</v>
      </c>
      <c r="D69" s="96" t="s">
        <v>35</v>
      </c>
      <c r="E69" s="96">
        <v>7</v>
      </c>
      <c r="F69" s="96" t="s">
        <v>236</v>
      </c>
      <c r="G69" s="96" t="s">
        <v>237</v>
      </c>
      <c r="H69" s="98">
        <v>44105</v>
      </c>
      <c r="I69" s="98">
        <v>44163</v>
      </c>
      <c r="J69" s="96">
        <v>58</v>
      </c>
      <c r="K69" s="96" t="s">
        <v>15</v>
      </c>
      <c r="L69" s="96"/>
      <c r="M69" s="96" t="s">
        <v>127</v>
      </c>
    </row>
    <row r="70" spans="2:13" s="85" customFormat="1" x14ac:dyDescent="0.3">
      <c r="B70" s="96">
        <v>72</v>
      </c>
      <c r="C70" s="97" t="s">
        <v>126</v>
      </c>
      <c r="D70" s="96" t="s">
        <v>35</v>
      </c>
      <c r="E70" s="96">
        <v>8</v>
      </c>
      <c r="F70" s="96" t="s">
        <v>236</v>
      </c>
      <c r="G70" s="96" t="s">
        <v>237</v>
      </c>
      <c r="H70" s="98">
        <v>43344</v>
      </c>
      <c r="I70" s="98">
        <v>43401</v>
      </c>
      <c r="J70" s="96">
        <v>57</v>
      </c>
      <c r="K70" s="96" t="s">
        <v>16</v>
      </c>
      <c r="L70" s="96"/>
      <c r="M70" s="96" t="s">
        <v>127</v>
      </c>
    </row>
    <row r="71" spans="2:13" s="85" customFormat="1" x14ac:dyDescent="0.3">
      <c r="B71" s="96">
        <v>73</v>
      </c>
      <c r="C71" s="97" t="s">
        <v>150</v>
      </c>
      <c r="D71" s="96" t="s">
        <v>35</v>
      </c>
      <c r="E71" s="96">
        <v>8</v>
      </c>
      <c r="F71" s="96" t="s">
        <v>236</v>
      </c>
      <c r="G71" s="96" t="s">
        <v>237</v>
      </c>
      <c r="H71" s="98">
        <v>44105</v>
      </c>
      <c r="I71" s="98">
        <v>44132</v>
      </c>
      <c r="J71" s="96">
        <v>27</v>
      </c>
      <c r="K71" s="96" t="s">
        <v>16</v>
      </c>
      <c r="L71" s="96"/>
      <c r="M71" s="96" t="s">
        <v>127</v>
      </c>
    </row>
    <row r="72" spans="2:13" s="85" customFormat="1" x14ac:dyDescent="0.3">
      <c r="B72" s="96">
        <v>74</v>
      </c>
      <c r="C72" s="97" t="s">
        <v>172</v>
      </c>
      <c r="D72" s="96" t="s">
        <v>14</v>
      </c>
      <c r="E72" s="96">
        <v>1</v>
      </c>
      <c r="F72" s="96" t="s">
        <v>236</v>
      </c>
      <c r="G72" s="96" t="s">
        <v>237</v>
      </c>
      <c r="H72" s="98">
        <v>44256</v>
      </c>
      <c r="I72" s="98">
        <v>44286</v>
      </c>
      <c r="J72" s="96">
        <v>30</v>
      </c>
      <c r="K72" s="96" t="s">
        <v>16</v>
      </c>
      <c r="L72" s="96"/>
      <c r="M72" s="96" t="s">
        <v>127</v>
      </c>
    </row>
    <row r="73" spans="2:13" s="85" customFormat="1" x14ac:dyDescent="0.3">
      <c r="B73" s="96">
        <v>75</v>
      </c>
      <c r="C73" s="97" t="s">
        <v>180</v>
      </c>
      <c r="D73" s="96" t="s">
        <v>14</v>
      </c>
      <c r="E73" s="96">
        <v>2</v>
      </c>
      <c r="F73" s="96" t="s">
        <v>236</v>
      </c>
      <c r="G73" s="96" t="s">
        <v>237</v>
      </c>
      <c r="H73" s="98">
        <v>45017</v>
      </c>
      <c r="I73" s="98">
        <v>45046</v>
      </c>
      <c r="J73" s="96">
        <v>29</v>
      </c>
      <c r="K73" s="96" t="s">
        <v>16</v>
      </c>
      <c r="L73" s="96"/>
      <c r="M73" s="96" t="s">
        <v>127</v>
      </c>
    </row>
    <row r="74" spans="2:13" s="85" customFormat="1" x14ac:dyDescent="0.3">
      <c r="B74" s="96">
        <v>76</v>
      </c>
      <c r="C74" s="97" t="s">
        <v>183</v>
      </c>
      <c r="D74" s="96" t="s">
        <v>14</v>
      </c>
      <c r="E74" s="96">
        <v>3</v>
      </c>
      <c r="F74" s="96" t="s">
        <v>236</v>
      </c>
      <c r="G74" s="96" t="s">
        <v>237</v>
      </c>
      <c r="H74" s="98">
        <v>45413</v>
      </c>
      <c r="I74" s="98">
        <v>45443</v>
      </c>
      <c r="J74" s="96">
        <v>30</v>
      </c>
      <c r="K74" s="96" t="s">
        <v>16</v>
      </c>
      <c r="L74" s="96"/>
      <c r="M74" s="96" t="s">
        <v>127</v>
      </c>
    </row>
    <row r="75" spans="2:13" s="85" customFormat="1" x14ac:dyDescent="0.3">
      <c r="B75" s="96">
        <v>77</v>
      </c>
      <c r="C75" s="97" t="s">
        <v>184</v>
      </c>
      <c r="D75" s="96" t="s">
        <v>14</v>
      </c>
      <c r="E75" s="96">
        <v>2</v>
      </c>
      <c r="F75" s="96" t="s">
        <v>236</v>
      </c>
      <c r="G75" s="96" t="s">
        <v>237</v>
      </c>
      <c r="H75" s="98">
        <v>45536</v>
      </c>
      <c r="I75" s="98">
        <v>45596</v>
      </c>
      <c r="J75" s="96">
        <v>60</v>
      </c>
      <c r="K75" s="96" t="s">
        <v>15</v>
      </c>
      <c r="L75" s="96"/>
      <c r="M75" s="96" t="s">
        <v>127</v>
      </c>
    </row>
    <row r="76" spans="2:13" s="85" customFormat="1" x14ac:dyDescent="0.3">
      <c r="B76" s="96">
        <v>78</v>
      </c>
      <c r="C76" s="97" t="s">
        <v>200</v>
      </c>
      <c r="D76" s="96" t="s">
        <v>31</v>
      </c>
      <c r="E76" s="96">
        <v>1</v>
      </c>
      <c r="F76" s="96" t="s">
        <v>236</v>
      </c>
      <c r="G76" s="96" t="s">
        <v>237</v>
      </c>
      <c r="H76" s="98">
        <v>44623</v>
      </c>
      <c r="I76" s="98">
        <v>44631</v>
      </c>
      <c r="J76" s="96">
        <v>8</v>
      </c>
      <c r="K76" s="96" t="s">
        <v>16</v>
      </c>
      <c r="L76" s="96" t="s">
        <v>201</v>
      </c>
      <c r="M76" s="96" t="s">
        <v>67</v>
      </c>
    </row>
    <row r="77" spans="2:13" s="85" customFormat="1" x14ac:dyDescent="0.3">
      <c r="B77" s="96">
        <v>79</v>
      </c>
      <c r="C77" s="97" t="s">
        <v>208</v>
      </c>
      <c r="D77" s="96" t="s">
        <v>31</v>
      </c>
      <c r="E77" s="96">
        <v>2</v>
      </c>
      <c r="F77" s="96" t="s">
        <v>236</v>
      </c>
      <c r="G77" s="96" t="s">
        <v>237</v>
      </c>
      <c r="H77" s="98">
        <v>44756</v>
      </c>
      <c r="I77" s="98">
        <v>44764</v>
      </c>
      <c r="J77" s="96">
        <v>8</v>
      </c>
      <c r="K77" s="96" t="s">
        <v>16</v>
      </c>
      <c r="L77" s="96" t="s">
        <v>209</v>
      </c>
      <c r="M77" s="96" t="s">
        <v>67</v>
      </c>
    </row>
    <row r="78" spans="2:13" s="85" customFormat="1" x14ac:dyDescent="0.3">
      <c r="B78" s="96">
        <v>80</v>
      </c>
      <c r="C78" s="97" t="s">
        <v>213</v>
      </c>
      <c r="D78" s="96" t="s">
        <v>31</v>
      </c>
      <c r="E78" s="96">
        <v>3</v>
      </c>
      <c r="F78" s="96" t="s">
        <v>236</v>
      </c>
      <c r="G78" s="96" t="s">
        <v>237</v>
      </c>
      <c r="H78" s="98">
        <v>44486</v>
      </c>
      <c r="I78" s="98">
        <v>44494</v>
      </c>
      <c r="J78" s="96">
        <v>8</v>
      </c>
      <c r="K78" s="96" t="s">
        <v>16</v>
      </c>
      <c r="L78" s="96" t="s">
        <v>214</v>
      </c>
      <c r="M78" s="96" t="s">
        <v>67</v>
      </c>
    </row>
    <row r="79" spans="2:13" s="85" customFormat="1" x14ac:dyDescent="0.3">
      <c r="B79" s="96">
        <v>81</v>
      </c>
      <c r="C79" s="97" t="s">
        <v>215</v>
      </c>
      <c r="D79" s="96" t="s">
        <v>31</v>
      </c>
      <c r="E79" s="96">
        <v>3</v>
      </c>
      <c r="F79" s="96" t="s">
        <v>236</v>
      </c>
      <c r="G79" s="96" t="s">
        <v>237</v>
      </c>
      <c r="H79" s="98">
        <v>44791</v>
      </c>
      <c r="I79" s="98">
        <v>44806</v>
      </c>
      <c r="J79" s="96">
        <v>15</v>
      </c>
      <c r="K79" s="96" t="s">
        <v>16</v>
      </c>
      <c r="L79" s="96" t="s">
        <v>216</v>
      </c>
      <c r="M79" s="96" t="s">
        <v>67</v>
      </c>
    </row>
    <row r="80" spans="2:13" s="85" customFormat="1" x14ac:dyDescent="0.3">
      <c r="B80" s="96">
        <v>82</v>
      </c>
      <c r="C80" s="97" t="s">
        <v>223</v>
      </c>
      <c r="D80" s="96" t="s">
        <v>31</v>
      </c>
      <c r="E80" s="96">
        <v>4</v>
      </c>
      <c r="F80" s="96" t="s">
        <v>236</v>
      </c>
      <c r="G80" s="96" t="s">
        <v>237</v>
      </c>
      <c r="H80" s="98">
        <v>44819</v>
      </c>
      <c r="I80" s="98">
        <v>44827</v>
      </c>
      <c r="J80" s="96">
        <v>8</v>
      </c>
      <c r="K80" s="96" t="s">
        <v>16</v>
      </c>
      <c r="L80" s="96" t="s">
        <v>224</v>
      </c>
      <c r="M80" s="96" t="s">
        <v>67</v>
      </c>
    </row>
    <row r="81" spans="2:13" s="85" customFormat="1" x14ac:dyDescent="0.3">
      <c r="B81" s="96">
        <v>83</v>
      </c>
      <c r="C81" s="97" t="s">
        <v>225</v>
      </c>
      <c r="D81" s="96" t="s">
        <v>31</v>
      </c>
      <c r="E81" s="96">
        <v>3</v>
      </c>
      <c r="F81" s="96" t="s">
        <v>236</v>
      </c>
      <c r="G81" s="96" t="s">
        <v>237</v>
      </c>
      <c r="H81" s="98">
        <v>45108</v>
      </c>
      <c r="I81" s="98">
        <v>45178</v>
      </c>
      <c r="J81" s="96">
        <v>70</v>
      </c>
      <c r="K81" s="96" t="s">
        <v>15</v>
      </c>
      <c r="L81" s="96" t="s">
        <v>226</v>
      </c>
      <c r="M81" s="96" t="s">
        <v>62</v>
      </c>
    </row>
    <row r="82" spans="2:13" s="85" customFormat="1" x14ac:dyDescent="0.3">
      <c r="B82" s="96">
        <v>84</v>
      </c>
      <c r="C82" s="97" t="s">
        <v>227</v>
      </c>
      <c r="D82" s="96" t="s">
        <v>31</v>
      </c>
      <c r="E82" s="96">
        <v>4</v>
      </c>
      <c r="F82" s="96" t="s">
        <v>236</v>
      </c>
      <c r="G82" s="96" t="s">
        <v>237</v>
      </c>
      <c r="H82" s="98">
        <v>45474</v>
      </c>
      <c r="I82" s="98">
        <v>45544</v>
      </c>
      <c r="J82" s="96">
        <v>70</v>
      </c>
      <c r="K82" s="96" t="s">
        <v>15</v>
      </c>
      <c r="L82" s="96" t="s">
        <v>228</v>
      </c>
      <c r="M82" s="96" t="s">
        <v>62</v>
      </c>
    </row>
    <row r="83" spans="2:13" s="85" customFormat="1" x14ac:dyDescent="0.3">
      <c r="B83" s="82"/>
      <c r="C83"/>
      <c r="D83" s="82"/>
      <c r="E83" s="82"/>
      <c r="F83" s="82"/>
      <c r="G83" s="82"/>
      <c r="H83" s="102"/>
      <c r="I83" s="102"/>
      <c r="J83" s="82"/>
      <c r="K83" s="82"/>
      <c r="L83" s="82"/>
      <c r="M83" s="82"/>
    </row>
    <row r="84" spans="2:13" s="85" customFormat="1" x14ac:dyDescent="0.3">
      <c r="B84" s="82"/>
      <c r="C84"/>
      <c r="D84" s="82"/>
      <c r="E84" s="82"/>
      <c r="F84" s="82"/>
      <c r="G84" s="82"/>
      <c r="H84" s="102"/>
      <c r="I84" s="102"/>
      <c r="J84" s="82"/>
      <c r="K84" s="82"/>
      <c r="L84" s="82"/>
      <c r="M84" s="82"/>
    </row>
    <row r="85" spans="2:13" s="85" customFormat="1" x14ac:dyDescent="0.3">
      <c r="B85" s="82"/>
      <c r="C85"/>
      <c r="D85" s="82"/>
      <c r="E85" s="82"/>
      <c r="F85" s="82"/>
      <c r="G85" s="82"/>
      <c r="H85" s="102"/>
      <c r="I85" s="102"/>
      <c r="J85" s="82"/>
      <c r="K85" s="82"/>
      <c r="L85" s="82"/>
      <c r="M85" s="82"/>
    </row>
    <row r="86" spans="2:13" s="85" customFormat="1" x14ac:dyDescent="0.3">
      <c r="B86" s="82"/>
      <c r="C86"/>
      <c r="D86" s="82"/>
      <c r="E86" s="82"/>
      <c r="F86" s="82"/>
      <c r="G86" s="82"/>
      <c r="H86" s="102"/>
      <c r="I86" s="102"/>
      <c r="J86" s="82"/>
      <c r="K86" s="82"/>
      <c r="L86" s="82"/>
      <c r="M86" s="82"/>
    </row>
    <row r="87" spans="2:13" s="85" customFormat="1" x14ac:dyDescent="0.3">
      <c r="B87" s="82"/>
      <c r="C87"/>
      <c r="D87" s="82"/>
      <c r="E87" s="82"/>
      <c r="F87" s="82"/>
      <c r="G87" s="82"/>
      <c r="H87" s="102"/>
      <c r="I87" s="102"/>
      <c r="J87" s="82"/>
      <c r="K87" s="82"/>
      <c r="L87" s="82"/>
      <c r="M87" s="82"/>
    </row>
    <row r="88" spans="2:13" s="85" customFormat="1" x14ac:dyDescent="0.3">
      <c r="B88" s="82"/>
      <c r="C88"/>
      <c r="D88" s="82"/>
      <c r="E88" s="82"/>
      <c r="F88" s="82"/>
      <c r="G88" s="82"/>
      <c r="H88" s="102"/>
      <c r="I88" s="102"/>
      <c r="J88" s="82"/>
      <c r="K88" s="82"/>
      <c r="L88" s="82"/>
      <c r="M88" s="82"/>
    </row>
    <row r="89" spans="2:13" s="85" customFormat="1" x14ac:dyDescent="0.3">
      <c r="B89" s="82"/>
      <c r="C89"/>
      <c r="D89" s="82"/>
      <c r="E89" s="82"/>
      <c r="F89" s="82"/>
      <c r="G89" s="82"/>
      <c r="H89" s="102"/>
      <c r="I89" s="102"/>
      <c r="J89" s="82"/>
      <c r="K89" s="82"/>
      <c r="L89" s="82"/>
      <c r="M89" s="82"/>
    </row>
    <row r="90" spans="2:13" s="85" customFormat="1" x14ac:dyDescent="0.3">
      <c r="B90" s="82"/>
      <c r="C90"/>
      <c r="D90" s="82"/>
      <c r="E90" s="82"/>
      <c r="F90" s="82"/>
      <c r="G90" s="82"/>
      <c r="H90" s="102"/>
      <c r="I90" s="102"/>
      <c r="J90" s="82"/>
      <c r="K90" s="82"/>
      <c r="L90" s="82"/>
      <c r="M90" s="82"/>
    </row>
    <row r="91" spans="2:13" s="85" customFormat="1" x14ac:dyDescent="0.3">
      <c r="B91" s="82"/>
      <c r="C91"/>
      <c r="D91" s="82"/>
      <c r="E91" s="82"/>
      <c r="F91" s="82"/>
      <c r="G91" s="82"/>
      <c r="H91" s="102"/>
      <c r="I91" s="102"/>
      <c r="J91" s="82"/>
      <c r="K91" s="82"/>
      <c r="L91" s="82"/>
      <c r="M91" s="82"/>
    </row>
    <row r="92" spans="2:13" s="85" customFormat="1" x14ac:dyDescent="0.3">
      <c r="B92" s="82"/>
      <c r="C92"/>
      <c r="D92" s="82"/>
      <c r="E92" s="82"/>
      <c r="F92" s="82"/>
      <c r="G92" s="82"/>
      <c r="H92" s="102"/>
      <c r="I92" s="102"/>
      <c r="J92" s="82"/>
      <c r="K92" s="82"/>
      <c r="L92" s="82"/>
      <c r="M92" s="82"/>
    </row>
    <row r="93" spans="2:13" s="85" customFormat="1" x14ac:dyDescent="0.3">
      <c r="B93" s="82"/>
      <c r="C93"/>
      <c r="D93" s="82"/>
      <c r="E93" s="82"/>
      <c r="F93" s="82"/>
      <c r="G93" s="82"/>
      <c r="H93" s="102"/>
      <c r="I93" s="102"/>
      <c r="J93" s="82"/>
      <c r="K93" s="82"/>
      <c r="L93" s="82"/>
      <c r="M93" s="82"/>
    </row>
    <row r="94" spans="2:13" s="85" customFormat="1" x14ac:dyDescent="0.3">
      <c r="B94" s="82"/>
      <c r="C94"/>
      <c r="D94" s="82"/>
      <c r="E94" s="82"/>
      <c r="F94" s="82"/>
      <c r="G94" s="82"/>
      <c r="H94" s="102"/>
      <c r="I94" s="102"/>
      <c r="J94" s="82"/>
      <c r="K94" s="82"/>
      <c r="L94" s="82"/>
      <c r="M94" s="82"/>
    </row>
    <row r="95" spans="2:13" s="85" customFormat="1" x14ac:dyDescent="0.3">
      <c r="B95" s="82"/>
      <c r="C95"/>
      <c r="D95" s="82"/>
      <c r="E95" s="82"/>
      <c r="F95" s="82"/>
      <c r="G95" s="82"/>
      <c r="H95" s="102"/>
      <c r="I95" s="102"/>
      <c r="J95" s="82"/>
      <c r="K95" s="82"/>
      <c r="L95" s="82"/>
      <c r="M95" s="82"/>
    </row>
    <row r="96" spans="2:13" s="85" customFormat="1" x14ac:dyDescent="0.3">
      <c r="B96" s="82"/>
      <c r="C96"/>
      <c r="D96" s="82"/>
      <c r="E96" s="82"/>
      <c r="F96" s="82"/>
      <c r="G96" s="82"/>
      <c r="H96" s="102"/>
      <c r="I96" s="102"/>
      <c r="J96" s="82"/>
      <c r="K96" s="82"/>
      <c r="L96" s="82"/>
      <c r="M96" s="82"/>
    </row>
    <row r="97" spans="2:13" s="85" customFormat="1" x14ac:dyDescent="0.3">
      <c r="B97" s="82"/>
      <c r="C97"/>
      <c r="D97" s="82"/>
      <c r="E97" s="82"/>
      <c r="F97" s="82"/>
      <c r="G97" s="82"/>
      <c r="H97" s="102"/>
      <c r="I97" s="102"/>
      <c r="J97" s="82"/>
      <c r="K97" s="82"/>
      <c r="L97" s="82"/>
      <c r="M97" s="82"/>
    </row>
    <row r="98" spans="2:13" s="85" customFormat="1" x14ac:dyDescent="0.3">
      <c r="B98" s="82"/>
      <c r="C98"/>
      <c r="D98" s="82"/>
      <c r="E98" s="82"/>
      <c r="F98" s="82"/>
      <c r="G98" s="82"/>
      <c r="H98" s="102"/>
      <c r="I98" s="102"/>
      <c r="J98" s="82"/>
      <c r="K98" s="82"/>
      <c r="L98" s="82"/>
      <c r="M98" s="82"/>
    </row>
    <row r="99" spans="2:13" s="85" customFormat="1" x14ac:dyDescent="0.3">
      <c r="B99" s="82"/>
      <c r="C99"/>
      <c r="D99" s="82"/>
      <c r="E99" s="82"/>
      <c r="F99" s="82"/>
      <c r="G99" s="82"/>
      <c r="H99" s="102"/>
      <c r="I99" s="102"/>
      <c r="J99" s="82"/>
      <c r="K99" s="82"/>
      <c r="L99" s="82"/>
      <c r="M99" s="82"/>
    </row>
    <row r="100" spans="2:13" s="85" customFormat="1" x14ac:dyDescent="0.3">
      <c r="B100" s="82"/>
      <c r="C100"/>
      <c r="D100" s="82"/>
      <c r="E100" s="82"/>
      <c r="F100" s="82"/>
      <c r="G100" s="82"/>
      <c r="H100" s="102"/>
      <c r="I100" s="102"/>
      <c r="J100" s="82"/>
      <c r="K100" s="82"/>
      <c r="L100" s="82"/>
      <c r="M100" s="82"/>
    </row>
    <row r="101" spans="2:13" s="85" customFormat="1" x14ac:dyDescent="0.3">
      <c r="B101" s="82"/>
      <c r="C101"/>
      <c r="D101" s="82"/>
      <c r="E101" s="82"/>
      <c r="F101" s="82"/>
      <c r="G101" s="82"/>
      <c r="H101" s="102"/>
      <c r="I101" s="102"/>
      <c r="J101" s="82"/>
      <c r="K101" s="82"/>
      <c r="L101" s="82"/>
      <c r="M101" s="82"/>
    </row>
    <row r="102" spans="2:13" s="85" customFormat="1" x14ac:dyDescent="0.3">
      <c r="B102" s="82"/>
      <c r="C102"/>
      <c r="D102" s="82"/>
      <c r="E102" s="82"/>
      <c r="F102" s="82"/>
      <c r="G102" s="82"/>
      <c r="H102" s="102"/>
      <c r="I102" s="102"/>
      <c r="J102" s="82"/>
      <c r="K102" s="82"/>
      <c r="L102" s="82"/>
      <c r="M102" s="82"/>
    </row>
    <row r="103" spans="2:13" s="85" customFormat="1" x14ac:dyDescent="0.3">
      <c r="B103" s="82"/>
      <c r="C103"/>
      <c r="D103" s="82"/>
      <c r="E103" s="82"/>
      <c r="F103" s="82"/>
      <c r="G103" s="82"/>
      <c r="H103" s="102"/>
      <c r="I103" s="102"/>
      <c r="J103" s="82"/>
      <c r="K103" s="82"/>
      <c r="L103" s="82"/>
      <c r="M103" s="82"/>
    </row>
    <row r="104" spans="2:13" s="85" customFormat="1" x14ac:dyDescent="0.3">
      <c r="B104" s="82"/>
      <c r="C104"/>
      <c r="D104" s="82"/>
      <c r="E104" s="82"/>
      <c r="F104" s="82"/>
      <c r="G104" s="82"/>
      <c r="H104" s="102"/>
      <c r="I104" s="102"/>
      <c r="J104" s="82"/>
      <c r="K104" s="82"/>
      <c r="L104" s="82"/>
      <c r="M104" s="82"/>
    </row>
    <row r="105" spans="2:13" s="85" customFormat="1" x14ac:dyDescent="0.3">
      <c r="B105" s="82"/>
      <c r="C105"/>
      <c r="D105" s="82"/>
      <c r="E105" s="82"/>
      <c r="F105" s="82"/>
      <c r="G105" s="82"/>
      <c r="H105" s="102"/>
      <c r="I105" s="102"/>
      <c r="J105" s="82"/>
      <c r="K105" s="82"/>
      <c r="L105" s="82"/>
      <c r="M105" s="82"/>
    </row>
    <row r="106" spans="2:13" s="85" customFormat="1" x14ac:dyDescent="0.3">
      <c r="B106" s="82"/>
      <c r="C106"/>
      <c r="D106" s="82"/>
      <c r="E106" s="82"/>
      <c r="F106" s="82"/>
      <c r="G106" s="82"/>
      <c r="H106" s="102"/>
      <c r="I106" s="102"/>
      <c r="J106" s="82"/>
      <c r="K106" s="82"/>
      <c r="L106" s="82"/>
      <c r="M106" s="82"/>
    </row>
    <row r="107" spans="2:13" s="85" customFormat="1" x14ac:dyDescent="0.3">
      <c r="B107" s="82"/>
      <c r="C107"/>
      <c r="D107" s="82"/>
      <c r="E107" s="82"/>
      <c r="F107" s="82"/>
      <c r="G107" s="82"/>
      <c r="H107" s="102"/>
      <c r="I107" s="102"/>
      <c r="J107" s="82"/>
      <c r="K107" s="82"/>
      <c r="L107" s="82"/>
      <c r="M107" s="82"/>
    </row>
    <row r="108" spans="2:13" s="85" customFormat="1" x14ac:dyDescent="0.3">
      <c r="B108" s="82"/>
      <c r="C108"/>
      <c r="D108" s="82"/>
      <c r="E108" s="82"/>
      <c r="F108" s="82"/>
      <c r="G108" s="82"/>
      <c r="H108" s="102"/>
      <c r="I108" s="102"/>
      <c r="J108" s="82"/>
      <c r="K108" s="82"/>
      <c r="L108" s="82"/>
      <c r="M108" s="82"/>
    </row>
    <row r="109" spans="2:13" s="85" customFormat="1" x14ac:dyDescent="0.3">
      <c r="B109" s="82"/>
      <c r="C109"/>
      <c r="D109" s="82"/>
      <c r="E109" s="82"/>
      <c r="F109" s="82"/>
      <c r="G109" s="82"/>
      <c r="H109" s="102"/>
      <c r="I109" s="102"/>
      <c r="J109" s="82"/>
      <c r="K109" s="82"/>
      <c r="L109" s="82"/>
      <c r="M109" s="82"/>
    </row>
    <row r="110" spans="2:13" s="85" customFormat="1" x14ac:dyDescent="0.3">
      <c r="B110" s="82"/>
      <c r="C110"/>
      <c r="D110" s="82"/>
      <c r="E110" s="82"/>
      <c r="F110" s="82"/>
      <c r="G110" s="82"/>
      <c r="H110" s="102"/>
      <c r="I110" s="102"/>
      <c r="J110" s="82"/>
      <c r="K110" s="82"/>
      <c r="L110" s="82"/>
      <c r="M110" s="82"/>
    </row>
    <row r="111" spans="2:13" s="85" customFormat="1" x14ac:dyDescent="0.3">
      <c r="B111" s="82"/>
      <c r="C111"/>
      <c r="D111" s="82"/>
      <c r="E111" s="82"/>
      <c r="F111" s="82"/>
      <c r="G111" s="82"/>
      <c r="H111" s="102"/>
      <c r="I111" s="102"/>
      <c r="J111" s="82"/>
      <c r="K111" s="82"/>
      <c r="L111" s="82"/>
      <c r="M111" s="82"/>
    </row>
    <row r="112" spans="2:13" s="85" customFormat="1" x14ac:dyDescent="0.3">
      <c r="B112" s="82"/>
      <c r="C112"/>
      <c r="D112" s="82"/>
      <c r="E112" s="82"/>
      <c r="F112" s="82"/>
      <c r="G112" s="82"/>
      <c r="H112" s="102"/>
      <c r="I112" s="102"/>
      <c r="J112" s="82"/>
      <c r="K112" s="82"/>
      <c r="L112" s="82"/>
      <c r="M112" s="82"/>
    </row>
    <row r="113" spans="2:13" s="85" customFormat="1" x14ac:dyDescent="0.3">
      <c r="B113" s="82"/>
      <c r="C113"/>
      <c r="D113" s="82"/>
      <c r="E113" s="82"/>
      <c r="F113" s="82"/>
      <c r="G113" s="82"/>
      <c r="H113" s="102"/>
      <c r="I113" s="102"/>
      <c r="J113" s="82"/>
      <c r="K113" s="82"/>
      <c r="L113" s="82"/>
      <c r="M113" s="82"/>
    </row>
    <row r="114" spans="2:13" s="85" customFormat="1" x14ac:dyDescent="0.3">
      <c r="B114" s="82"/>
      <c r="C114"/>
      <c r="D114" s="82"/>
      <c r="E114" s="82"/>
      <c r="F114" s="82"/>
      <c r="G114" s="82"/>
      <c r="H114" s="102"/>
      <c r="I114" s="102"/>
      <c r="J114" s="82"/>
      <c r="K114" s="82"/>
      <c r="L114" s="82"/>
      <c r="M114" s="82"/>
    </row>
    <row r="115" spans="2:13" s="85" customFormat="1" x14ac:dyDescent="0.3">
      <c r="B115" s="82"/>
      <c r="C115"/>
      <c r="D115" s="82"/>
      <c r="E115" s="82"/>
      <c r="F115" s="82"/>
      <c r="G115" s="82"/>
      <c r="H115" s="102"/>
      <c r="I115" s="102"/>
      <c r="J115" s="82"/>
      <c r="K115" s="82"/>
      <c r="L115" s="82"/>
      <c r="M115" s="82"/>
    </row>
    <row r="116" spans="2:13" s="85" customFormat="1" x14ac:dyDescent="0.3">
      <c r="B116" s="82"/>
      <c r="C116"/>
      <c r="D116" s="82"/>
      <c r="E116" s="82"/>
      <c r="F116" s="82"/>
      <c r="G116" s="82"/>
      <c r="H116" s="102"/>
      <c r="I116" s="102"/>
      <c r="J116" s="82"/>
      <c r="K116" s="82"/>
      <c r="L116" s="82"/>
      <c r="M116" s="82"/>
    </row>
    <row r="117" spans="2:13" s="85" customFormat="1" x14ac:dyDescent="0.3">
      <c r="B117" s="82"/>
      <c r="C117"/>
      <c r="D117" s="82"/>
      <c r="E117" s="82"/>
      <c r="F117" s="82"/>
      <c r="G117" s="82"/>
      <c r="H117" s="102"/>
      <c r="I117" s="102"/>
      <c r="J117" s="82"/>
      <c r="K117" s="82"/>
      <c r="L117" s="82"/>
      <c r="M117" s="82"/>
    </row>
    <row r="118" spans="2:13" s="85" customFormat="1" x14ac:dyDescent="0.3">
      <c r="B118" s="82"/>
      <c r="C118"/>
      <c r="D118" s="82"/>
      <c r="E118" s="82"/>
      <c r="F118" s="82"/>
      <c r="G118" s="82"/>
      <c r="H118" s="102"/>
      <c r="I118" s="102"/>
      <c r="J118" s="82"/>
      <c r="K118" s="82"/>
      <c r="L118" s="82"/>
      <c r="M118" s="82"/>
    </row>
    <row r="119" spans="2:13" s="85" customFormat="1" x14ac:dyDescent="0.3">
      <c r="B119" s="82"/>
      <c r="C119"/>
      <c r="D119" s="82"/>
      <c r="E119" s="82"/>
      <c r="F119" s="82"/>
      <c r="G119" s="82"/>
      <c r="H119" s="102"/>
      <c r="I119" s="102"/>
      <c r="J119" s="82"/>
      <c r="K119" s="82"/>
      <c r="L119" s="82"/>
      <c r="M119" s="82"/>
    </row>
    <row r="120" spans="2:13" s="85" customFormat="1" x14ac:dyDescent="0.3">
      <c r="B120" s="82"/>
      <c r="C120"/>
      <c r="D120" s="82"/>
      <c r="E120" s="82"/>
      <c r="F120" s="82"/>
      <c r="G120" s="82"/>
      <c r="H120" s="102"/>
      <c r="I120" s="102"/>
      <c r="J120" s="82"/>
      <c r="K120" s="82"/>
      <c r="L120" s="82"/>
      <c r="M120" s="82"/>
    </row>
    <row r="121" spans="2:13" s="85" customFormat="1" x14ac:dyDescent="0.3">
      <c r="B121" s="82"/>
      <c r="C121"/>
      <c r="D121" s="82"/>
      <c r="E121" s="82"/>
      <c r="F121" s="82"/>
      <c r="G121" s="82"/>
      <c r="H121" s="102"/>
      <c r="I121" s="102"/>
      <c r="J121" s="82"/>
      <c r="K121" s="82"/>
      <c r="L121" s="82"/>
      <c r="M121" s="82"/>
    </row>
    <row r="122" spans="2:13" s="85" customFormat="1" x14ac:dyDescent="0.3">
      <c r="B122" s="82"/>
      <c r="C122"/>
      <c r="D122" s="82"/>
      <c r="E122" s="82"/>
      <c r="F122" s="82"/>
      <c r="G122" s="82"/>
      <c r="H122" s="102"/>
      <c r="I122" s="102"/>
      <c r="J122" s="82"/>
      <c r="K122" s="82"/>
      <c r="L122" s="82"/>
      <c r="M122" s="82"/>
    </row>
    <row r="123" spans="2:13" s="85" customFormat="1" x14ac:dyDescent="0.3">
      <c r="B123" s="82"/>
      <c r="C123"/>
      <c r="D123" s="82"/>
      <c r="E123" s="82"/>
      <c r="F123" s="82"/>
      <c r="G123" s="82"/>
      <c r="H123" s="102"/>
      <c r="I123" s="102"/>
      <c r="J123" s="82"/>
      <c r="K123" s="82"/>
      <c r="L123" s="82"/>
      <c r="M123" s="82"/>
    </row>
    <row r="124" spans="2:13" s="85" customFormat="1" x14ac:dyDescent="0.3">
      <c r="B124" s="82"/>
      <c r="C124"/>
      <c r="D124" s="82"/>
      <c r="E124" s="82"/>
      <c r="F124" s="82"/>
      <c r="G124" s="82"/>
      <c r="H124" s="102"/>
      <c r="I124" s="102"/>
      <c r="J124" s="82"/>
      <c r="K124" s="82"/>
      <c r="L124" s="82"/>
      <c r="M124" s="82"/>
    </row>
    <row r="125" spans="2:13" s="85" customFormat="1" x14ac:dyDescent="0.3">
      <c r="B125" s="82"/>
      <c r="C125"/>
      <c r="D125" s="82"/>
      <c r="E125" s="82"/>
      <c r="F125" s="82"/>
      <c r="G125" s="82"/>
      <c r="H125" s="102"/>
      <c r="I125" s="102"/>
      <c r="J125" s="82"/>
      <c r="K125" s="82"/>
      <c r="L125" s="82"/>
      <c r="M125" s="82"/>
    </row>
    <row r="126" spans="2:13" s="85" customFormat="1" x14ac:dyDescent="0.3">
      <c r="B126" s="82"/>
      <c r="C126"/>
      <c r="D126" s="82"/>
      <c r="E126" s="82"/>
      <c r="F126" s="82"/>
      <c r="G126" s="82"/>
      <c r="H126" s="102"/>
      <c r="I126" s="102"/>
      <c r="J126" s="82"/>
      <c r="K126" s="82"/>
      <c r="L126" s="82"/>
      <c r="M126" s="82"/>
    </row>
    <row r="127" spans="2:13" s="85" customFormat="1" x14ac:dyDescent="0.3">
      <c r="B127" s="82"/>
      <c r="C127"/>
      <c r="D127" s="82"/>
      <c r="E127" s="82"/>
      <c r="F127" s="82"/>
      <c r="G127" s="82"/>
      <c r="H127" s="102"/>
      <c r="I127" s="102"/>
      <c r="J127" s="82"/>
      <c r="K127" s="82"/>
      <c r="L127" s="82"/>
      <c r="M127" s="82"/>
    </row>
    <row r="128" spans="2:13" s="85" customFormat="1" x14ac:dyDescent="0.3">
      <c r="B128" s="82"/>
      <c r="C128"/>
      <c r="D128" s="82"/>
      <c r="E128" s="82"/>
      <c r="F128" s="82"/>
      <c r="G128" s="82"/>
      <c r="H128" s="102"/>
      <c r="I128" s="102"/>
      <c r="J128" s="82"/>
      <c r="K128" s="82"/>
      <c r="L128" s="82"/>
      <c r="M128" s="82"/>
    </row>
  </sheetData>
  <pageMargins left="0.7" right="0.7" top="0.75" bottom="0.75" header="0.3" footer="0.3"/>
  <pageSetup paperSize="9" orientation="portrait"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97"/>
  <sheetViews>
    <sheetView workbookViewId="0">
      <pane ySplit="1" topLeftCell="A89" activePane="bottomLeft" state="frozen"/>
      <selection pane="bottomLeft" activeCell="F91" sqref="F91"/>
    </sheetView>
  </sheetViews>
  <sheetFormatPr defaultRowHeight="16.5" x14ac:dyDescent="0.3"/>
  <cols>
    <col min="1" max="1" width="23.75" bestFit="1" customWidth="1"/>
    <col min="3" max="3" width="11.5" bestFit="1" customWidth="1"/>
    <col min="4" max="4" width="10.625" bestFit="1" customWidth="1"/>
  </cols>
  <sheetData>
    <row r="1" spans="1:4" ht="58.5" customHeight="1" x14ac:dyDescent="0.3">
      <c r="A1" s="110" t="s">
        <v>129</v>
      </c>
      <c r="B1" s="111" t="s">
        <v>1</v>
      </c>
      <c r="C1" s="111" t="s">
        <v>234</v>
      </c>
      <c r="D1" s="112" t="s">
        <v>235</v>
      </c>
    </row>
    <row r="2" spans="1:4" x14ac:dyDescent="0.3">
      <c r="A2" s="103" t="s">
        <v>14</v>
      </c>
      <c r="B2" s="104">
        <v>1</v>
      </c>
      <c r="C2" s="104" t="s">
        <v>236</v>
      </c>
      <c r="D2" s="105" t="s">
        <v>237</v>
      </c>
    </row>
    <row r="3" spans="1:4" x14ac:dyDescent="0.3">
      <c r="A3" s="103" t="s">
        <v>14</v>
      </c>
      <c r="B3" s="104">
        <v>2</v>
      </c>
      <c r="C3" s="104" t="s">
        <v>236</v>
      </c>
      <c r="D3" s="105" t="s">
        <v>237</v>
      </c>
    </row>
    <row r="4" spans="1:4" x14ac:dyDescent="0.3">
      <c r="A4" s="103" t="s">
        <v>14</v>
      </c>
      <c r="B4" s="104">
        <v>3</v>
      </c>
      <c r="C4" s="104" t="s">
        <v>236</v>
      </c>
      <c r="D4" s="105" t="s">
        <v>237</v>
      </c>
    </row>
    <row r="5" spans="1:4" x14ac:dyDescent="0.3">
      <c r="A5" s="103" t="s">
        <v>14</v>
      </c>
      <c r="B5" s="104">
        <v>4</v>
      </c>
      <c r="C5" s="104" t="s">
        <v>236</v>
      </c>
      <c r="D5" s="105" t="s">
        <v>237</v>
      </c>
    </row>
    <row r="6" spans="1:4" x14ac:dyDescent="0.3">
      <c r="A6" s="103" t="s">
        <v>20</v>
      </c>
      <c r="B6" s="104">
        <v>1</v>
      </c>
      <c r="C6" s="104" t="s">
        <v>236</v>
      </c>
      <c r="D6" s="105" t="s">
        <v>237</v>
      </c>
    </row>
    <row r="7" spans="1:4" x14ac:dyDescent="0.3">
      <c r="A7" s="103" t="s">
        <v>20</v>
      </c>
      <c r="B7" s="104">
        <v>2</v>
      </c>
      <c r="C7" s="104" t="s">
        <v>236</v>
      </c>
      <c r="D7" s="105" t="s">
        <v>237</v>
      </c>
    </row>
    <row r="8" spans="1:4" x14ac:dyDescent="0.3">
      <c r="A8" s="103" t="s">
        <v>20</v>
      </c>
      <c r="B8" s="104">
        <v>3</v>
      </c>
      <c r="C8" s="104" t="s">
        <v>236</v>
      </c>
      <c r="D8" s="105" t="s">
        <v>237</v>
      </c>
    </row>
    <row r="9" spans="1:4" x14ac:dyDescent="0.3">
      <c r="A9" s="103" t="s">
        <v>20</v>
      </c>
      <c r="B9" s="104">
        <v>4</v>
      </c>
      <c r="C9" s="104" t="s">
        <v>236</v>
      </c>
      <c r="D9" s="105" t="s">
        <v>237</v>
      </c>
    </row>
    <row r="10" spans="1:4" x14ac:dyDescent="0.3">
      <c r="A10" s="103" t="s">
        <v>22</v>
      </c>
      <c r="B10" s="104" t="s">
        <v>23</v>
      </c>
      <c r="C10" s="104" t="s">
        <v>236</v>
      </c>
      <c r="D10" s="105" t="s">
        <v>237</v>
      </c>
    </row>
    <row r="11" spans="1:4" x14ac:dyDescent="0.3">
      <c r="A11" s="103" t="s">
        <v>22</v>
      </c>
      <c r="B11" s="104" t="s">
        <v>24</v>
      </c>
      <c r="C11" s="104" t="s">
        <v>236</v>
      </c>
      <c r="D11" s="105" t="s">
        <v>237</v>
      </c>
    </row>
    <row r="12" spans="1:4" x14ac:dyDescent="0.3">
      <c r="A12" s="103" t="s">
        <v>22</v>
      </c>
      <c r="B12" s="104" t="s">
        <v>25</v>
      </c>
      <c r="C12" s="104" t="s">
        <v>236</v>
      </c>
      <c r="D12" s="105" t="s">
        <v>237</v>
      </c>
    </row>
    <row r="13" spans="1:4" x14ac:dyDescent="0.3">
      <c r="A13" s="103" t="s">
        <v>22</v>
      </c>
      <c r="B13" s="104" t="s">
        <v>27</v>
      </c>
      <c r="C13" s="104" t="s">
        <v>236</v>
      </c>
      <c r="D13" s="105" t="s">
        <v>237</v>
      </c>
    </row>
    <row r="14" spans="1:4" x14ac:dyDescent="0.3">
      <c r="A14" s="103" t="s">
        <v>28</v>
      </c>
      <c r="B14" s="104">
        <v>5</v>
      </c>
      <c r="C14" s="104" t="s">
        <v>236</v>
      </c>
      <c r="D14" s="105" t="s">
        <v>237</v>
      </c>
    </row>
    <row r="15" spans="1:4" x14ac:dyDescent="0.3">
      <c r="A15" s="103" t="s">
        <v>28</v>
      </c>
      <c r="B15" s="104">
        <v>6</v>
      </c>
      <c r="C15" s="104" t="s">
        <v>236</v>
      </c>
      <c r="D15" s="105" t="s">
        <v>237</v>
      </c>
    </row>
    <row r="16" spans="1:4" x14ac:dyDescent="0.3">
      <c r="A16" s="103" t="s">
        <v>29</v>
      </c>
      <c r="B16" s="104">
        <v>1</v>
      </c>
      <c r="C16" s="104" t="s">
        <v>236</v>
      </c>
      <c r="D16" s="105" t="s">
        <v>237</v>
      </c>
    </row>
    <row r="17" spans="1:4" x14ac:dyDescent="0.3">
      <c r="A17" s="103" t="s">
        <v>29</v>
      </c>
      <c r="B17" s="104">
        <v>2</v>
      </c>
      <c r="C17" s="104" t="s">
        <v>236</v>
      </c>
      <c r="D17" s="105" t="s">
        <v>237</v>
      </c>
    </row>
    <row r="18" spans="1:4" x14ac:dyDescent="0.3">
      <c r="A18" s="103" t="s">
        <v>30</v>
      </c>
      <c r="B18" s="104">
        <v>1</v>
      </c>
      <c r="C18" s="104" t="s">
        <v>236</v>
      </c>
      <c r="D18" s="105" t="s">
        <v>238</v>
      </c>
    </row>
    <row r="19" spans="1:4" x14ac:dyDescent="0.3">
      <c r="A19" s="103" t="s">
        <v>137</v>
      </c>
      <c r="B19" s="104" t="s">
        <v>138</v>
      </c>
      <c r="C19" s="104" t="s">
        <v>236</v>
      </c>
      <c r="D19" s="105" t="s">
        <v>237</v>
      </c>
    </row>
    <row r="20" spans="1:4" x14ac:dyDescent="0.3">
      <c r="A20" s="103" t="s">
        <v>31</v>
      </c>
      <c r="B20" s="104">
        <v>1</v>
      </c>
      <c r="C20" s="104" t="s">
        <v>236</v>
      </c>
      <c r="D20" s="105" t="s">
        <v>237</v>
      </c>
    </row>
    <row r="21" spans="1:4" x14ac:dyDescent="0.3">
      <c r="A21" s="103" t="s">
        <v>31</v>
      </c>
      <c r="B21" s="104">
        <v>2</v>
      </c>
      <c r="C21" s="104" t="s">
        <v>236</v>
      </c>
      <c r="D21" s="105" t="s">
        <v>237</v>
      </c>
    </row>
    <row r="22" spans="1:4" x14ac:dyDescent="0.3">
      <c r="A22" s="103" t="s">
        <v>31</v>
      </c>
      <c r="B22" s="104">
        <v>3</v>
      </c>
      <c r="C22" s="104" t="s">
        <v>236</v>
      </c>
      <c r="D22" s="105" t="s">
        <v>237</v>
      </c>
    </row>
    <row r="23" spans="1:4" x14ac:dyDescent="0.3">
      <c r="A23" s="103" t="s">
        <v>31</v>
      </c>
      <c r="B23" s="104">
        <v>4</v>
      </c>
      <c r="C23" s="104" t="s">
        <v>236</v>
      </c>
      <c r="D23" s="105" t="s">
        <v>237</v>
      </c>
    </row>
    <row r="24" spans="1:4" x14ac:dyDescent="0.3">
      <c r="A24" s="103" t="s">
        <v>32</v>
      </c>
      <c r="B24" s="104">
        <v>1</v>
      </c>
      <c r="C24" s="104" t="s">
        <v>236</v>
      </c>
      <c r="D24" s="105" t="s">
        <v>237</v>
      </c>
    </row>
    <row r="25" spans="1:4" x14ac:dyDescent="0.3">
      <c r="A25" s="103" t="s">
        <v>32</v>
      </c>
      <c r="B25" s="104">
        <v>2</v>
      </c>
      <c r="C25" s="104" t="s">
        <v>236</v>
      </c>
      <c r="D25" s="105" t="s">
        <v>237</v>
      </c>
    </row>
    <row r="26" spans="1:4" x14ac:dyDescent="0.3">
      <c r="A26" s="103" t="s">
        <v>32</v>
      </c>
      <c r="B26" s="104">
        <v>3</v>
      </c>
      <c r="C26" s="104" t="s">
        <v>236</v>
      </c>
      <c r="D26" s="105" t="s">
        <v>237</v>
      </c>
    </row>
    <row r="27" spans="1:4" x14ac:dyDescent="0.3">
      <c r="A27" s="103" t="s">
        <v>32</v>
      </c>
      <c r="B27" s="104">
        <v>4</v>
      </c>
      <c r="C27" s="104" t="s">
        <v>236</v>
      </c>
      <c r="D27" s="105" t="s">
        <v>237</v>
      </c>
    </row>
    <row r="28" spans="1:4" x14ac:dyDescent="0.3">
      <c r="A28" s="103" t="s">
        <v>34</v>
      </c>
      <c r="B28" s="104">
        <v>1</v>
      </c>
      <c r="C28" s="104" t="s">
        <v>236</v>
      </c>
      <c r="D28" s="105" t="s">
        <v>237</v>
      </c>
    </row>
    <row r="29" spans="1:4" x14ac:dyDescent="0.3">
      <c r="A29" s="103" t="s">
        <v>35</v>
      </c>
      <c r="B29" s="104">
        <v>5</v>
      </c>
      <c r="C29" s="104" t="s">
        <v>236</v>
      </c>
      <c r="D29" s="105" t="s">
        <v>237</v>
      </c>
    </row>
    <row r="30" spans="1:4" x14ac:dyDescent="0.3">
      <c r="A30" s="103" t="s">
        <v>35</v>
      </c>
      <c r="B30" s="104">
        <v>6</v>
      </c>
      <c r="C30" s="104" t="s">
        <v>236</v>
      </c>
      <c r="D30" s="105" t="s">
        <v>237</v>
      </c>
    </row>
    <row r="31" spans="1:4" x14ac:dyDescent="0.3">
      <c r="A31" s="103" t="s">
        <v>35</v>
      </c>
      <c r="B31" s="104">
        <v>7</v>
      </c>
      <c r="C31" s="104" t="s">
        <v>236</v>
      </c>
      <c r="D31" s="105" t="s">
        <v>237</v>
      </c>
    </row>
    <row r="32" spans="1:4" x14ac:dyDescent="0.3">
      <c r="A32" s="103" t="s">
        <v>35</v>
      </c>
      <c r="B32" s="104">
        <v>8</v>
      </c>
      <c r="C32" s="104" t="s">
        <v>236</v>
      </c>
      <c r="D32" s="105" t="s">
        <v>237</v>
      </c>
    </row>
    <row r="33" spans="1:4" x14ac:dyDescent="0.3">
      <c r="A33" s="103" t="s">
        <v>239</v>
      </c>
      <c r="B33" s="104">
        <v>1</v>
      </c>
      <c r="C33" s="104" t="s">
        <v>236</v>
      </c>
      <c r="D33" s="105" t="s">
        <v>237</v>
      </c>
    </row>
    <row r="34" spans="1:4" x14ac:dyDescent="0.3">
      <c r="A34" s="103" t="s">
        <v>239</v>
      </c>
      <c r="B34" s="104">
        <v>2</v>
      </c>
      <c r="C34" s="104" t="s">
        <v>236</v>
      </c>
      <c r="D34" s="105" t="s">
        <v>237</v>
      </c>
    </row>
    <row r="35" spans="1:4" x14ac:dyDescent="0.3">
      <c r="A35" s="103" t="s">
        <v>239</v>
      </c>
      <c r="B35" s="104">
        <v>3</v>
      </c>
      <c r="C35" s="104" t="s">
        <v>236</v>
      </c>
      <c r="D35" s="105" t="s">
        <v>237</v>
      </c>
    </row>
    <row r="36" spans="1:4" x14ac:dyDescent="0.3">
      <c r="A36" s="103" t="s">
        <v>240</v>
      </c>
      <c r="B36" s="104">
        <v>5</v>
      </c>
      <c r="C36" s="104" t="s">
        <v>236</v>
      </c>
      <c r="D36" s="105" t="s">
        <v>237</v>
      </c>
    </row>
    <row r="37" spans="1:4" x14ac:dyDescent="0.3">
      <c r="A37" s="103" t="s">
        <v>240</v>
      </c>
      <c r="B37" s="104">
        <v>6</v>
      </c>
      <c r="C37" s="104" t="s">
        <v>236</v>
      </c>
      <c r="D37" s="105" t="s">
        <v>237</v>
      </c>
    </row>
    <row r="38" spans="1:4" x14ac:dyDescent="0.3">
      <c r="A38" s="106" t="s">
        <v>241</v>
      </c>
      <c r="B38" s="104">
        <v>1</v>
      </c>
      <c r="C38" s="104" t="s">
        <v>236</v>
      </c>
      <c r="D38" s="105" t="s">
        <v>237</v>
      </c>
    </row>
    <row r="39" spans="1:4" x14ac:dyDescent="0.3">
      <c r="A39" s="106" t="s">
        <v>241</v>
      </c>
      <c r="B39" s="104">
        <v>2</v>
      </c>
      <c r="C39" s="104" t="s">
        <v>236</v>
      </c>
      <c r="D39" s="105" t="s">
        <v>237</v>
      </c>
    </row>
    <row r="40" spans="1:4" x14ac:dyDescent="0.3">
      <c r="A40" s="106" t="s">
        <v>242</v>
      </c>
      <c r="B40" s="104" t="s">
        <v>243</v>
      </c>
      <c r="C40" s="104" t="s">
        <v>236</v>
      </c>
      <c r="D40" s="105" t="s">
        <v>244</v>
      </c>
    </row>
    <row r="41" spans="1:4" x14ac:dyDescent="0.3">
      <c r="A41" s="106" t="s">
        <v>242</v>
      </c>
      <c r="B41" s="104" t="s">
        <v>245</v>
      </c>
      <c r="C41" s="104" t="s">
        <v>236</v>
      </c>
      <c r="D41" s="105" t="s">
        <v>244</v>
      </c>
    </row>
    <row r="42" spans="1:4" x14ac:dyDescent="0.3">
      <c r="A42" s="106" t="s">
        <v>242</v>
      </c>
      <c r="B42" s="104" t="s">
        <v>246</v>
      </c>
      <c r="C42" s="104" t="s">
        <v>236</v>
      </c>
      <c r="D42" s="105" t="s">
        <v>244</v>
      </c>
    </row>
    <row r="43" spans="1:4" x14ac:dyDescent="0.3">
      <c r="A43" s="106" t="s">
        <v>242</v>
      </c>
      <c r="B43" s="104" t="s">
        <v>247</v>
      </c>
      <c r="C43" s="104" t="s">
        <v>236</v>
      </c>
      <c r="D43" s="105" t="s">
        <v>244</v>
      </c>
    </row>
    <row r="44" spans="1:4" x14ac:dyDescent="0.3">
      <c r="A44" s="106" t="s">
        <v>242</v>
      </c>
      <c r="B44" s="104" t="s">
        <v>23</v>
      </c>
      <c r="C44" s="104" t="s">
        <v>236</v>
      </c>
      <c r="D44" s="105" t="s">
        <v>244</v>
      </c>
    </row>
    <row r="45" spans="1:4" x14ac:dyDescent="0.3">
      <c r="A45" s="106" t="s">
        <v>242</v>
      </c>
      <c r="B45" s="104" t="s">
        <v>24</v>
      </c>
      <c r="C45" s="104" t="s">
        <v>236</v>
      </c>
      <c r="D45" s="105" t="s">
        <v>244</v>
      </c>
    </row>
    <row r="46" spans="1:4" x14ac:dyDescent="0.3">
      <c r="A46" s="106" t="s">
        <v>242</v>
      </c>
      <c r="B46" s="104" t="s">
        <v>248</v>
      </c>
      <c r="C46" s="104" t="s">
        <v>236</v>
      </c>
      <c r="D46" s="105" t="s">
        <v>244</v>
      </c>
    </row>
    <row r="47" spans="1:4" x14ac:dyDescent="0.3">
      <c r="A47" s="103" t="s">
        <v>249</v>
      </c>
      <c r="B47" s="104">
        <v>1</v>
      </c>
      <c r="C47" s="104" t="s">
        <v>236</v>
      </c>
      <c r="D47" s="105" t="s">
        <v>250</v>
      </c>
    </row>
    <row r="48" spans="1:4" x14ac:dyDescent="0.3">
      <c r="A48" s="103" t="s">
        <v>249</v>
      </c>
      <c r="B48" s="104">
        <v>2</v>
      </c>
      <c r="C48" s="104" t="s">
        <v>236</v>
      </c>
      <c r="D48" s="105" t="s">
        <v>250</v>
      </c>
    </row>
    <row r="49" spans="1:4" x14ac:dyDescent="0.3">
      <c r="A49" s="103" t="s">
        <v>251</v>
      </c>
      <c r="B49" s="104">
        <v>3</v>
      </c>
      <c r="C49" s="104" t="s">
        <v>236</v>
      </c>
      <c r="D49" s="105" t="s">
        <v>250</v>
      </c>
    </row>
    <row r="50" spans="1:4" x14ac:dyDescent="0.3">
      <c r="A50" s="103" t="s">
        <v>251</v>
      </c>
      <c r="B50" s="104">
        <v>4</v>
      </c>
      <c r="C50" s="104" t="s">
        <v>236</v>
      </c>
      <c r="D50" s="105" t="s">
        <v>250</v>
      </c>
    </row>
    <row r="51" spans="1:4" x14ac:dyDescent="0.3">
      <c r="A51" s="103" t="s">
        <v>252</v>
      </c>
      <c r="B51" s="104">
        <v>1</v>
      </c>
      <c r="C51" s="104" t="s">
        <v>236</v>
      </c>
      <c r="D51" s="105" t="s">
        <v>250</v>
      </c>
    </row>
    <row r="52" spans="1:4" x14ac:dyDescent="0.3">
      <c r="A52" s="103" t="s">
        <v>252</v>
      </c>
      <c r="B52" s="104">
        <v>2</v>
      </c>
      <c r="C52" s="104" t="s">
        <v>236</v>
      </c>
      <c r="D52" s="105" t="s">
        <v>250</v>
      </c>
    </row>
    <row r="53" spans="1:4" x14ac:dyDescent="0.3">
      <c r="A53" s="103" t="s">
        <v>252</v>
      </c>
      <c r="B53" s="104">
        <v>3</v>
      </c>
      <c r="C53" s="104" t="s">
        <v>236</v>
      </c>
      <c r="D53" s="105" t="s">
        <v>250</v>
      </c>
    </row>
    <row r="54" spans="1:4" x14ac:dyDescent="0.3">
      <c r="A54" s="103" t="s">
        <v>252</v>
      </c>
      <c r="B54" s="104">
        <v>4</v>
      </c>
      <c r="C54" s="104" t="s">
        <v>236</v>
      </c>
      <c r="D54" s="105" t="s">
        <v>250</v>
      </c>
    </row>
    <row r="55" spans="1:4" x14ac:dyDescent="0.3">
      <c r="A55" s="103" t="s">
        <v>252</v>
      </c>
      <c r="B55" s="104">
        <v>5</v>
      </c>
      <c r="C55" s="104" t="s">
        <v>236</v>
      </c>
      <c r="D55" s="105" t="s">
        <v>250</v>
      </c>
    </row>
    <row r="56" spans="1:4" x14ac:dyDescent="0.3">
      <c r="A56" s="103" t="s">
        <v>252</v>
      </c>
      <c r="B56" s="104">
        <v>6</v>
      </c>
      <c r="C56" s="104" t="s">
        <v>236</v>
      </c>
      <c r="D56" s="105" t="s">
        <v>250</v>
      </c>
    </row>
    <row r="57" spans="1:4" x14ac:dyDescent="0.3">
      <c r="A57" s="103" t="s">
        <v>252</v>
      </c>
      <c r="B57" s="104">
        <v>7</v>
      </c>
      <c r="C57" s="104" t="s">
        <v>236</v>
      </c>
      <c r="D57" s="105" t="s">
        <v>250</v>
      </c>
    </row>
    <row r="58" spans="1:4" x14ac:dyDescent="0.3">
      <c r="A58" s="103" t="s">
        <v>252</v>
      </c>
      <c r="B58" s="104">
        <v>8</v>
      </c>
      <c r="C58" s="104" t="s">
        <v>236</v>
      </c>
      <c r="D58" s="105" t="s">
        <v>250</v>
      </c>
    </row>
    <row r="59" spans="1:4" x14ac:dyDescent="0.3">
      <c r="A59" s="103" t="s">
        <v>252</v>
      </c>
      <c r="B59" s="104">
        <v>9</v>
      </c>
      <c r="C59" s="104" t="s">
        <v>236</v>
      </c>
      <c r="D59" s="105" t="s">
        <v>250</v>
      </c>
    </row>
    <row r="60" spans="1:4" x14ac:dyDescent="0.3">
      <c r="A60" s="103" t="s">
        <v>252</v>
      </c>
      <c r="B60" s="104">
        <v>10</v>
      </c>
      <c r="C60" s="104" t="s">
        <v>236</v>
      </c>
      <c r="D60" s="105" t="s">
        <v>250</v>
      </c>
    </row>
    <row r="61" spans="1:4" x14ac:dyDescent="0.3">
      <c r="A61" s="106" t="s">
        <v>253</v>
      </c>
      <c r="B61" s="104">
        <v>1</v>
      </c>
      <c r="C61" s="104" t="s">
        <v>254</v>
      </c>
      <c r="D61" s="105" t="s">
        <v>255</v>
      </c>
    </row>
    <row r="62" spans="1:4" x14ac:dyDescent="0.3">
      <c r="A62" s="106" t="s">
        <v>253</v>
      </c>
      <c r="B62" s="104">
        <v>2</v>
      </c>
      <c r="C62" s="104" t="s">
        <v>254</v>
      </c>
      <c r="D62" s="105" t="s">
        <v>255</v>
      </c>
    </row>
    <row r="63" spans="1:4" x14ac:dyDescent="0.3">
      <c r="A63" s="106" t="s">
        <v>36</v>
      </c>
      <c r="B63" s="104">
        <v>1</v>
      </c>
      <c r="C63" s="104" t="s">
        <v>256</v>
      </c>
      <c r="D63" s="105" t="s">
        <v>255</v>
      </c>
    </row>
    <row r="64" spans="1:4" x14ac:dyDescent="0.3">
      <c r="A64" s="106" t="s">
        <v>36</v>
      </c>
      <c r="B64" s="104">
        <v>2</v>
      </c>
      <c r="C64" s="104" t="s">
        <v>256</v>
      </c>
      <c r="D64" s="105" t="s">
        <v>255</v>
      </c>
    </row>
    <row r="65" spans="1:4" x14ac:dyDescent="0.3">
      <c r="A65" s="106" t="s">
        <v>257</v>
      </c>
      <c r="B65" s="104">
        <v>1</v>
      </c>
      <c r="C65" s="104" t="s">
        <v>256</v>
      </c>
      <c r="D65" s="105" t="s">
        <v>255</v>
      </c>
    </row>
    <row r="66" spans="1:4" x14ac:dyDescent="0.3">
      <c r="A66" s="106" t="s">
        <v>257</v>
      </c>
      <c r="B66" s="104">
        <v>2</v>
      </c>
      <c r="C66" s="104" t="s">
        <v>256</v>
      </c>
      <c r="D66" s="105" t="s">
        <v>255</v>
      </c>
    </row>
    <row r="67" spans="1:4" x14ac:dyDescent="0.3">
      <c r="A67" s="106" t="s">
        <v>229</v>
      </c>
      <c r="B67" s="104">
        <v>10</v>
      </c>
      <c r="C67" s="104" t="s">
        <v>258</v>
      </c>
      <c r="D67" s="105" t="s">
        <v>237</v>
      </c>
    </row>
    <row r="68" spans="1:4" x14ac:dyDescent="0.3">
      <c r="A68" s="106" t="s">
        <v>229</v>
      </c>
      <c r="B68" s="104">
        <v>20</v>
      </c>
      <c r="C68" s="104" t="s">
        <v>258</v>
      </c>
      <c r="D68" s="105" t="s">
        <v>237</v>
      </c>
    </row>
    <row r="69" spans="1:4" x14ac:dyDescent="0.3">
      <c r="A69" s="106" t="s">
        <v>229</v>
      </c>
      <c r="B69" s="104">
        <v>30</v>
      </c>
      <c r="C69" s="104" t="s">
        <v>258</v>
      </c>
      <c r="D69" s="105" t="s">
        <v>237</v>
      </c>
    </row>
    <row r="70" spans="1:4" x14ac:dyDescent="0.3">
      <c r="A70" s="106" t="s">
        <v>230</v>
      </c>
      <c r="B70" s="104">
        <v>10</v>
      </c>
      <c r="C70" s="104" t="s">
        <v>258</v>
      </c>
      <c r="D70" s="105" t="s">
        <v>237</v>
      </c>
    </row>
    <row r="71" spans="1:4" x14ac:dyDescent="0.3">
      <c r="A71" s="106" t="s">
        <v>230</v>
      </c>
      <c r="B71" s="104">
        <v>20</v>
      </c>
      <c r="C71" s="104" t="s">
        <v>258</v>
      </c>
      <c r="D71" s="105" t="s">
        <v>237</v>
      </c>
    </row>
    <row r="72" spans="1:4" x14ac:dyDescent="0.3">
      <c r="A72" s="106" t="s">
        <v>231</v>
      </c>
      <c r="B72" s="104">
        <v>2</v>
      </c>
      <c r="C72" s="104" t="s">
        <v>258</v>
      </c>
      <c r="D72" s="105" t="s">
        <v>237</v>
      </c>
    </row>
    <row r="73" spans="1:4" x14ac:dyDescent="0.3">
      <c r="A73" s="106" t="s">
        <v>232</v>
      </c>
      <c r="B73" s="104">
        <v>5</v>
      </c>
      <c r="C73" s="104" t="s">
        <v>258</v>
      </c>
      <c r="D73" s="105" t="s">
        <v>237</v>
      </c>
    </row>
    <row r="74" spans="1:4" x14ac:dyDescent="0.3">
      <c r="A74" s="106" t="s">
        <v>232</v>
      </c>
      <c r="B74" s="104">
        <v>6</v>
      </c>
      <c r="C74" s="104" t="s">
        <v>258</v>
      </c>
      <c r="D74" s="105" t="s">
        <v>237</v>
      </c>
    </row>
    <row r="75" spans="1:4" x14ac:dyDescent="0.3">
      <c r="A75" s="106" t="s">
        <v>233</v>
      </c>
      <c r="B75" s="104">
        <v>1</v>
      </c>
      <c r="C75" s="104" t="s">
        <v>258</v>
      </c>
      <c r="D75" s="105" t="s">
        <v>238</v>
      </c>
    </row>
    <row r="76" spans="1:4" x14ac:dyDescent="0.3">
      <c r="A76" s="106" t="s">
        <v>233</v>
      </c>
      <c r="B76" s="104">
        <v>2</v>
      </c>
      <c r="C76" s="104" t="s">
        <v>258</v>
      </c>
      <c r="D76" s="105" t="s">
        <v>238</v>
      </c>
    </row>
    <row r="77" spans="1:4" x14ac:dyDescent="0.3">
      <c r="A77" s="106" t="s">
        <v>242</v>
      </c>
      <c r="B77" s="104" t="s">
        <v>243</v>
      </c>
      <c r="C77" s="104" t="s">
        <v>236</v>
      </c>
      <c r="D77" s="105" t="s">
        <v>244</v>
      </c>
    </row>
    <row r="78" spans="1:4" x14ac:dyDescent="0.3">
      <c r="A78" s="106" t="s">
        <v>242</v>
      </c>
      <c r="B78" s="104" t="s">
        <v>245</v>
      </c>
      <c r="C78" s="104" t="s">
        <v>236</v>
      </c>
      <c r="D78" s="105" t="s">
        <v>244</v>
      </c>
    </row>
    <row r="79" spans="1:4" x14ac:dyDescent="0.3">
      <c r="A79" s="106" t="s">
        <v>242</v>
      </c>
      <c r="B79" s="104" t="s">
        <v>246</v>
      </c>
      <c r="C79" s="104" t="s">
        <v>236</v>
      </c>
      <c r="D79" s="105" t="s">
        <v>244</v>
      </c>
    </row>
    <row r="80" spans="1:4" x14ac:dyDescent="0.3">
      <c r="A80" s="106" t="s">
        <v>242</v>
      </c>
      <c r="B80" s="104" t="s">
        <v>247</v>
      </c>
      <c r="C80" s="104" t="s">
        <v>236</v>
      </c>
      <c r="D80" s="105" t="s">
        <v>244</v>
      </c>
    </row>
    <row r="81" spans="1:4" x14ac:dyDescent="0.3">
      <c r="A81" s="106" t="s">
        <v>242</v>
      </c>
      <c r="B81" s="104" t="s">
        <v>23</v>
      </c>
      <c r="C81" s="104" t="s">
        <v>236</v>
      </c>
      <c r="D81" s="105" t="s">
        <v>244</v>
      </c>
    </row>
    <row r="82" spans="1:4" x14ac:dyDescent="0.3">
      <c r="A82" s="106" t="s">
        <v>242</v>
      </c>
      <c r="B82" s="104" t="s">
        <v>24</v>
      </c>
      <c r="C82" s="104" t="s">
        <v>236</v>
      </c>
      <c r="D82" s="105" t="s">
        <v>244</v>
      </c>
    </row>
    <row r="83" spans="1:4" x14ac:dyDescent="0.3">
      <c r="A83" s="106" t="s">
        <v>242</v>
      </c>
      <c r="B83" s="104" t="s">
        <v>248</v>
      </c>
      <c r="C83" s="104" t="s">
        <v>236</v>
      </c>
      <c r="D83" s="105" t="s">
        <v>244</v>
      </c>
    </row>
    <row r="84" spans="1:4" x14ac:dyDescent="0.3">
      <c r="A84" s="103" t="s">
        <v>249</v>
      </c>
      <c r="B84" s="104">
        <v>1</v>
      </c>
      <c r="C84" s="104" t="s">
        <v>236</v>
      </c>
      <c r="D84" s="105" t="s">
        <v>250</v>
      </c>
    </row>
    <row r="85" spans="1:4" x14ac:dyDescent="0.3">
      <c r="A85" s="103" t="s">
        <v>249</v>
      </c>
      <c r="B85" s="104">
        <v>2</v>
      </c>
      <c r="C85" s="104" t="s">
        <v>236</v>
      </c>
      <c r="D85" s="105" t="s">
        <v>250</v>
      </c>
    </row>
    <row r="86" spans="1:4" x14ac:dyDescent="0.3">
      <c r="A86" s="103" t="s">
        <v>251</v>
      </c>
      <c r="B86" s="104">
        <v>3</v>
      </c>
      <c r="C86" s="104" t="s">
        <v>236</v>
      </c>
      <c r="D86" s="105" t="s">
        <v>250</v>
      </c>
    </row>
    <row r="87" spans="1:4" x14ac:dyDescent="0.3">
      <c r="A87" s="103" t="s">
        <v>251</v>
      </c>
      <c r="B87" s="104">
        <v>4</v>
      </c>
      <c r="C87" s="104" t="s">
        <v>236</v>
      </c>
      <c r="D87" s="105" t="s">
        <v>250</v>
      </c>
    </row>
    <row r="88" spans="1:4" x14ac:dyDescent="0.3">
      <c r="A88" s="103" t="s">
        <v>252</v>
      </c>
      <c r="B88" s="104">
        <v>1</v>
      </c>
      <c r="C88" s="104" t="s">
        <v>236</v>
      </c>
      <c r="D88" s="105" t="s">
        <v>250</v>
      </c>
    </row>
    <row r="89" spans="1:4" x14ac:dyDescent="0.3">
      <c r="A89" s="103" t="s">
        <v>252</v>
      </c>
      <c r="B89" s="104">
        <v>2</v>
      </c>
      <c r="C89" s="104" t="s">
        <v>236</v>
      </c>
      <c r="D89" s="105" t="s">
        <v>250</v>
      </c>
    </row>
    <row r="90" spans="1:4" x14ac:dyDescent="0.3">
      <c r="A90" s="103" t="s">
        <v>252</v>
      </c>
      <c r="B90" s="104">
        <v>3</v>
      </c>
      <c r="C90" s="104" t="s">
        <v>236</v>
      </c>
      <c r="D90" s="105" t="s">
        <v>250</v>
      </c>
    </row>
    <row r="91" spans="1:4" x14ac:dyDescent="0.3">
      <c r="A91" s="103" t="s">
        <v>252</v>
      </c>
      <c r="B91" s="104">
        <v>4</v>
      </c>
      <c r="C91" s="104" t="s">
        <v>236</v>
      </c>
      <c r="D91" s="105" t="s">
        <v>250</v>
      </c>
    </row>
    <row r="92" spans="1:4" x14ac:dyDescent="0.3">
      <c r="A92" s="103" t="s">
        <v>252</v>
      </c>
      <c r="B92" s="104">
        <v>5</v>
      </c>
      <c r="C92" s="104" t="s">
        <v>236</v>
      </c>
      <c r="D92" s="105" t="s">
        <v>250</v>
      </c>
    </row>
    <row r="93" spans="1:4" x14ac:dyDescent="0.3">
      <c r="A93" s="103" t="s">
        <v>252</v>
      </c>
      <c r="B93" s="104">
        <v>6</v>
      </c>
      <c r="C93" s="104" t="s">
        <v>236</v>
      </c>
      <c r="D93" s="105" t="s">
        <v>250</v>
      </c>
    </row>
    <row r="94" spans="1:4" x14ac:dyDescent="0.3">
      <c r="A94" s="103" t="s">
        <v>252</v>
      </c>
      <c r="B94" s="104">
        <v>7</v>
      </c>
      <c r="C94" s="104" t="s">
        <v>236</v>
      </c>
      <c r="D94" s="105" t="s">
        <v>250</v>
      </c>
    </row>
    <row r="95" spans="1:4" x14ac:dyDescent="0.3">
      <c r="A95" s="103" t="s">
        <v>252</v>
      </c>
      <c r="B95" s="104">
        <v>8</v>
      </c>
      <c r="C95" s="104" t="s">
        <v>236</v>
      </c>
      <c r="D95" s="105" t="s">
        <v>250</v>
      </c>
    </row>
    <row r="96" spans="1:4" x14ac:dyDescent="0.3">
      <c r="A96" s="103" t="s">
        <v>252</v>
      </c>
      <c r="B96" s="104">
        <v>9</v>
      </c>
      <c r="C96" s="104" t="s">
        <v>236</v>
      </c>
      <c r="D96" s="105" t="s">
        <v>250</v>
      </c>
    </row>
    <row r="97" spans="1:4" x14ac:dyDescent="0.3">
      <c r="A97" s="107" t="s">
        <v>252</v>
      </c>
      <c r="B97" s="108">
        <v>10</v>
      </c>
      <c r="C97" s="108" t="s">
        <v>236</v>
      </c>
      <c r="D97" s="109" t="s">
        <v>250</v>
      </c>
    </row>
  </sheetData>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2:C6"/>
  <sheetViews>
    <sheetView workbookViewId="0">
      <selection activeCell="C7" sqref="C7"/>
    </sheetView>
  </sheetViews>
  <sheetFormatPr defaultRowHeight="16.5" x14ac:dyDescent="0.3"/>
  <cols>
    <col min="3" max="3" width="12.5" bestFit="1" customWidth="1"/>
  </cols>
  <sheetData>
    <row r="2" spans="1:3" ht="17.25" thickBot="1" x14ac:dyDescent="0.35">
      <c r="A2" s="287" t="s">
        <v>15</v>
      </c>
      <c r="B2" s="288"/>
      <c r="C2" s="92" t="s">
        <v>133</v>
      </c>
    </row>
    <row r="3" spans="1:3" x14ac:dyDescent="0.3">
      <c r="A3" s="293" t="s">
        <v>16</v>
      </c>
      <c r="B3" s="294"/>
      <c r="C3" s="93">
        <v>199204228</v>
      </c>
    </row>
    <row r="4" spans="1:3" ht="17.25" thickBot="1" x14ac:dyDescent="0.35">
      <c r="A4" s="295" t="s">
        <v>18</v>
      </c>
      <c r="B4" s="296"/>
      <c r="C4" s="91" t="s">
        <v>134</v>
      </c>
    </row>
    <row r="5" spans="1:3" ht="17.25" thickBot="1" x14ac:dyDescent="0.35">
      <c r="A5" s="289" t="s">
        <v>15</v>
      </c>
      <c r="B5" s="290"/>
      <c r="C5" t="s">
        <v>135</v>
      </c>
    </row>
    <row r="6" spans="1:3" x14ac:dyDescent="0.3">
      <c r="A6" s="291" t="s">
        <v>15</v>
      </c>
      <c r="B6" s="292"/>
      <c r="C6" t="s">
        <v>136</v>
      </c>
    </row>
  </sheetData>
  <mergeCells count="5">
    <mergeCell ref="A2:B2"/>
    <mergeCell ref="A5:B5"/>
    <mergeCell ref="A6:B6"/>
    <mergeCell ref="A3:B3"/>
    <mergeCell ref="A4:B4"/>
  </mergeCell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M21"/>
  <sheetViews>
    <sheetView topLeftCell="A13" workbookViewId="0">
      <selection activeCell="D10" sqref="D10"/>
    </sheetView>
  </sheetViews>
  <sheetFormatPr defaultRowHeight="16.5" x14ac:dyDescent="0.3"/>
  <cols>
    <col min="1" max="1" width="21.125" bestFit="1" customWidth="1"/>
    <col min="2" max="2" width="15.875" bestFit="1" customWidth="1"/>
    <col min="3" max="7" width="10.5" bestFit="1" customWidth="1"/>
    <col min="8" max="9" width="11.625" bestFit="1" customWidth="1"/>
    <col min="10" max="11" width="10.5" bestFit="1" customWidth="1"/>
    <col min="12" max="12" width="7.375" bestFit="1" customWidth="1"/>
    <col min="13" max="13" width="11.375" bestFit="1" customWidth="1"/>
  </cols>
  <sheetData>
    <row r="3" spans="1:13" x14ac:dyDescent="0.3">
      <c r="A3" s="77" t="s">
        <v>37</v>
      </c>
      <c r="B3" s="77" t="s">
        <v>38</v>
      </c>
    </row>
    <row r="4" spans="1:13" x14ac:dyDescent="0.3">
      <c r="A4" s="77" t="s">
        <v>39</v>
      </c>
      <c r="B4" s="76">
        <v>43160</v>
      </c>
      <c r="C4" s="76">
        <v>43191</v>
      </c>
      <c r="D4" s="76">
        <v>43221</v>
      </c>
      <c r="E4" s="76">
        <v>43282</v>
      </c>
      <c r="F4" s="76">
        <v>43313</v>
      </c>
      <c r="G4" s="76">
        <v>43317</v>
      </c>
      <c r="H4" s="76">
        <v>43339</v>
      </c>
      <c r="I4" s="76">
        <v>43394</v>
      </c>
      <c r="J4" s="76">
        <v>43405</v>
      </c>
      <c r="K4" s="76">
        <v>43435</v>
      </c>
      <c r="L4" t="s">
        <v>40</v>
      </c>
      <c r="M4" t="s">
        <v>41</v>
      </c>
    </row>
    <row r="5" spans="1:13" x14ac:dyDescent="0.3">
      <c r="A5" s="78" t="s">
        <v>14</v>
      </c>
      <c r="B5" s="80"/>
      <c r="C5" s="80">
        <v>84</v>
      </c>
      <c r="D5" s="80">
        <v>14</v>
      </c>
      <c r="E5" s="80"/>
      <c r="F5" s="80">
        <v>14</v>
      </c>
      <c r="G5" s="80"/>
      <c r="H5" s="80"/>
      <c r="I5" s="80">
        <v>16</v>
      </c>
      <c r="J5" s="80"/>
      <c r="K5" s="80"/>
      <c r="L5" s="80"/>
      <c r="M5" s="80">
        <v>14</v>
      </c>
    </row>
    <row r="6" spans="1:13" x14ac:dyDescent="0.3">
      <c r="A6" s="79">
        <v>1</v>
      </c>
      <c r="B6" s="80"/>
      <c r="C6" s="80">
        <v>84</v>
      </c>
      <c r="D6" s="80"/>
      <c r="E6" s="80"/>
      <c r="F6" s="80"/>
      <c r="G6" s="80"/>
      <c r="H6" s="80"/>
      <c r="I6" s="80"/>
      <c r="J6" s="80"/>
      <c r="K6" s="80"/>
      <c r="L6" s="80"/>
      <c r="M6" s="80">
        <v>84</v>
      </c>
    </row>
    <row r="7" spans="1:13" x14ac:dyDescent="0.3">
      <c r="A7" s="79">
        <v>2</v>
      </c>
      <c r="B7" s="80"/>
      <c r="C7" s="80"/>
      <c r="D7" s="80">
        <v>14</v>
      </c>
      <c r="E7" s="80"/>
      <c r="F7" s="80"/>
      <c r="G7" s="80"/>
      <c r="H7" s="80"/>
      <c r="I7" s="80">
        <v>16</v>
      </c>
      <c r="J7" s="80"/>
      <c r="K7" s="80"/>
      <c r="L7" s="80"/>
      <c r="M7" s="80">
        <v>14</v>
      </c>
    </row>
    <row r="8" spans="1:13" x14ac:dyDescent="0.3">
      <c r="A8" s="79">
        <v>3</v>
      </c>
      <c r="B8" s="80"/>
      <c r="C8" s="80"/>
      <c r="D8" s="80"/>
      <c r="E8" s="80"/>
      <c r="F8" s="80">
        <v>14</v>
      </c>
      <c r="G8" s="80"/>
      <c r="H8" s="80"/>
      <c r="I8" s="80"/>
      <c r="J8" s="80"/>
      <c r="K8" s="80"/>
      <c r="L8" s="80"/>
      <c r="M8" s="80">
        <v>14</v>
      </c>
    </row>
    <row r="9" spans="1:13" x14ac:dyDescent="0.3">
      <c r="A9" s="78" t="s">
        <v>42</v>
      </c>
      <c r="B9" s="80"/>
      <c r="C9" s="80"/>
      <c r="D9" s="80"/>
      <c r="E9" s="80"/>
      <c r="F9" s="80">
        <v>20</v>
      </c>
      <c r="G9" s="80"/>
      <c r="H9" s="80"/>
      <c r="I9" s="80"/>
      <c r="J9" s="80"/>
      <c r="K9" s="80"/>
      <c r="L9" s="80"/>
      <c r="M9" s="80">
        <v>20</v>
      </c>
    </row>
    <row r="10" spans="1:13" x14ac:dyDescent="0.3">
      <c r="A10" s="79">
        <v>3</v>
      </c>
      <c r="B10" s="80"/>
      <c r="C10" s="80"/>
      <c r="D10" s="80"/>
      <c r="E10" s="80"/>
      <c r="F10" s="80">
        <v>20</v>
      </c>
      <c r="G10" s="80"/>
      <c r="H10" s="80"/>
      <c r="I10" s="80"/>
      <c r="J10" s="80"/>
      <c r="K10" s="80"/>
      <c r="L10" s="80"/>
      <c r="M10" s="80">
        <v>20</v>
      </c>
    </row>
    <row r="11" spans="1:13" x14ac:dyDescent="0.3">
      <c r="A11" s="78" t="s">
        <v>43</v>
      </c>
      <c r="B11" s="80">
        <v>14</v>
      </c>
      <c r="C11" s="80"/>
      <c r="D11" s="80"/>
      <c r="E11" s="80"/>
      <c r="F11" s="80"/>
      <c r="G11" s="80">
        <v>45</v>
      </c>
      <c r="H11" s="80"/>
      <c r="I11" s="80"/>
      <c r="J11" s="80"/>
      <c r="K11" s="80"/>
      <c r="L11" s="80"/>
      <c r="M11" s="80">
        <v>14</v>
      </c>
    </row>
    <row r="12" spans="1:13" x14ac:dyDescent="0.3">
      <c r="A12" s="79">
        <v>5</v>
      </c>
      <c r="B12" s="80"/>
      <c r="C12" s="80"/>
      <c r="D12" s="80"/>
      <c r="E12" s="80"/>
      <c r="F12" s="80"/>
      <c r="G12" s="80">
        <v>45</v>
      </c>
      <c r="H12" s="80"/>
      <c r="I12" s="80"/>
      <c r="J12" s="80"/>
      <c r="K12" s="80"/>
      <c r="L12" s="80"/>
      <c r="M12" s="80">
        <v>45</v>
      </c>
    </row>
    <row r="13" spans="1:13" x14ac:dyDescent="0.3">
      <c r="A13" s="79">
        <v>6</v>
      </c>
      <c r="B13" s="80">
        <v>14</v>
      </c>
      <c r="C13" s="80"/>
      <c r="D13" s="80"/>
      <c r="E13" s="80"/>
      <c r="F13" s="80"/>
      <c r="G13" s="80"/>
      <c r="H13" s="80"/>
      <c r="I13" s="80"/>
      <c r="J13" s="80"/>
      <c r="K13" s="80"/>
      <c r="L13" s="80"/>
      <c r="M13" s="80">
        <v>14</v>
      </c>
    </row>
    <row r="14" spans="1:13" x14ac:dyDescent="0.3">
      <c r="A14" s="78" t="s">
        <v>31</v>
      </c>
      <c r="B14" s="80">
        <v>14</v>
      </c>
      <c r="C14" s="80">
        <v>14</v>
      </c>
      <c r="D14" s="80">
        <v>14</v>
      </c>
      <c r="E14" s="80">
        <v>2</v>
      </c>
      <c r="F14" s="80"/>
      <c r="G14" s="80"/>
      <c r="H14" s="80">
        <v>45</v>
      </c>
      <c r="I14" s="80"/>
      <c r="J14" s="80">
        <v>14</v>
      </c>
      <c r="K14" s="80">
        <v>14</v>
      </c>
      <c r="L14" s="80"/>
      <c r="M14" s="80">
        <v>2</v>
      </c>
    </row>
    <row r="15" spans="1:13" x14ac:dyDescent="0.3">
      <c r="A15" s="79">
        <v>1</v>
      </c>
      <c r="B15" s="80"/>
      <c r="C15" s="80"/>
      <c r="D15" s="80">
        <v>14</v>
      </c>
      <c r="E15" s="80"/>
      <c r="F15" s="80"/>
      <c r="G15" s="80"/>
      <c r="H15" s="80"/>
      <c r="I15" s="80"/>
      <c r="J15" s="80">
        <v>14</v>
      </c>
      <c r="K15" s="80"/>
      <c r="L15" s="80"/>
      <c r="M15" s="80">
        <v>14</v>
      </c>
    </row>
    <row r="16" spans="1:13" x14ac:dyDescent="0.3">
      <c r="A16" s="79">
        <v>2</v>
      </c>
      <c r="B16" s="80"/>
      <c r="C16" s="80">
        <v>14</v>
      </c>
      <c r="D16" s="80"/>
      <c r="E16" s="80"/>
      <c r="F16" s="80"/>
      <c r="G16" s="80"/>
      <c r="H16" s="80"/>
      <c r="I16" s="80"/>
      <c r="J16" s="80"/>
      <c r="K16" s="80">
        <v>14</v>
      </c>
      <c r="L16" s="80"/>
      <c r="M16" s="80">
        <v>14</v>
      </c>
    </row>
    <row r="17" spans="1:13" x14ac:dyDescent="0.3">
      <c r="A17" s="79">
        <v>3</v>
      </c>
      <c r="B17" s="80"/>
      <c r="C17" s="80"/>
      <c r="D17" s="80"/>
      <c r="E17" s="80"/>
      <c r="F17" s="80"/>
      <c r="G17" s="80"/>
      <c r="H17" s="80">
        <v>45</v>
      </c>
      <c r="I17" s="80"/>
      <c r="J17" s="80"/>
      <c r="K17" s="80"/>
      <c r="L17" s="80"/>
      <c r="M17" s="80">
        <v>45</v>
      </c>
    </row>
    <row r="18" spans="1:13" x14ac:dyDescent="0.3">
      <c r="A18" s="79">
        <v>4</v>
      </c>
      <c r="B18" s="80">
        <v>14</v>
      </c>
      <c r="C18" s="80"/>
      <c r="D18" s="80"/>
      <c r="E18" s="80">
        <v>2</v>
      </c>
      <c r="F18" s="80"/>
      <c r="G18" s="80"/>
      <c r="H18" s="80"/>
      <c r="I18" s="80"/>
      <c r="J18" s="80"/>
      <c r="K18" s="80"/>
      <c r="L18" s="80"/>
      <c r="M18" s="80">
        <v>2</v>
      </c>
    </row>
    <row r="19" spans="1:13" x14ac:dyDescent="0.3">
      <c r="A19" s="78" t="s">
        <v>40</v>
      </c>
      <c r="B19" s="80"/>
      <c r="C19" s="80"/>
      <c r="D19" s="80"/>
      <c r="E19" s="80"/>
      <c r="F19" s="80"/>
      <c r="G19" s="80"/>
      <c r="H19" s="80"/>
      <c r="I19" s="80"/>
      <c r="J19" s="80"/>
      <c r="K19" s="80"/>
      <c r="L19" s="80"/>
      <c r="M19" s="80"/>
    </row>
    <row r="20" spans="1:13" x14ac:dyDescent="0.3">
      <c r="A20" s="79" t="s">
        <v>40</v>
      </c>
      <c r="B20" s="80"/>
      <c r="C20" s="80"/>
      <c r="D20" s="80"/>
      <c r="E20" s="80"/>
      <c r="F20" s="80"/>
      <c r="G20" s="80"/>
      <c r="H20" s="80"/>
      <c r="I20" s="80"/>
      <c r="J20" s="80"/>
      <c r="K20" s="80"/>
      <c r="L20" s="80"/>
      <c r="M20" s="80"/>
    </row>
    <row r="21" spans="1:13" x14ac:dyDescent="0.3">
      <c r="A21" s="78" t="s">
        <v>41</v>
      </c>
      <c r="B21" s="80">
        <v>14</v>
      </c>
      <c r="C21" s="80">
        <v>14</v>
      </c>
      <c r="D21" s="80">
        <v>14</v>
      </c>
      <c r="E21" s="80">
        <v>2</v>
      </c>
      <c r="F21" s="80">
        <v>14</v>
      </c>
      <c r="G21" s="80">
        <v>45</v>
      </c>
      <c r="H21" s="80">
        <v>45</v>
      </c>
      <c r="I21" s="80">
        <v>16</v>
      </c>
      <c r="J21" s="80">
        <v>14</v>
      </c>
      <c r="K21" s="80">
        <v>14</v>
      </c>
      <c r="L21" s="80"/>
      <c r="M21" s="80">
        <v>2</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Q38"/>
  <sheetViews>
    <sheetView topLeftCell="A3" workbookViewId="0">
      <selection activeCell="F10" sqref="F10"/>
    </sheetView>
  </sheetViews>
  <sheetFormatPr defaultRowHeight="16.5" x14ac:dyDescent="0.3"/>
  <cols>
    <col min="1" max="1" width="10.375" customWidth="1"/>
    <col min="2" max="3" width="10" customWidth="1"/>
    <col min="4" max="4" width="11.75" customWidth="1"/>
    <col min="5" max="5" width="9.125" customWidth="1"/>
    <col min="6" max="6" width="10.75" customWidth="1"/>
    <col min="7" max="7" width="18.25" customWidth="1"/>
    <col min="8" max="8" width="18.5" customWidth="1"/>
    <col min="9" max="9" width="2.75" customWidth="1"/>
  </cols>
  <sheetData>
    <row r="2" spans="1:95" ht="33" x14ac:dyDescent="0.3">
      <c r="A2" s="81" t="s">
        <v>44</v>
      </c>
      <c r="B2" t="s">
        <v>45</v>
      </c>
      <c r="C2" t="s">
        <v>1</v>
      </c>
      <c r="D2" t="s">
        <v>46</v>
      </c>
      <c r="E2" s="81" t="s">
        <v>47</v>
      </c>
      <c r="F2" t="s">
        <v>48</v>
      </c>
      <c r="G2" t="s">
        <v>49</v>
      </c>
      <c r="H2" t="s">
        <v>50</v>
      </c>
    </row>
    <row r="3" spans="1:95" x14ac:dyDescent="0.3">
      <c r="A3" t="s">
        <v>51</v>
      </c>
      <c r="B3" t="s">
        <v>14</v>
      </c>
      <c r="C3">
        <v>1</v>
      </c>
      <c r="D3" s="76">
        <v>43191</v>
      </c>
      <c r="E3" s="82">
        <f>12*7</f>
        <v>84</v>
      </c>
      <c r="F3" s="76">
        <f>IF(E3="","",D3+E3)</f>
        <v>43275</v>
      </c>
      <c r="G3" t="s">
        <v>52</v>
      </c>
      <c r="H3" t="s">
        <v>53</v>
      </c>
    </row>
    <row r="4" spans="1:95" ht="17.25" thickBot="1" x14ac:dyDescent="0.35">
      <c r="A4" t="s">
        <v>54</v>
      </c>
      <c r="B4" t="s">
        <v>14</v>
      </c>
      <c r="C4">
        <v>2</v>
      </c>
      <c r="D4" s="76">
        <v>43221</v>
      </c>
      <c r="E4" s="82">
        <v>14</v>
      </c>
      <c r="F4" s="76">
        <f t="shared" ref="F4:F38" si="0">IF(E4="","",D4+E4)</f>
        <v>43235</v>
      </c>
      <c r="G4" t="s">
        <v>52</v>
      </c>
      <c r="H4" t="s">
        <v>55</v>
      </c>
    </row>
    <row r="5" spans="1:95" ht="18.75" thickBot="1" x14ac:dyDescent="0.4">
      <c r="A5" t="s">
        <v>56</v>
      </c>
      <c r="B5" t="s">
        <v>14</v>
      </c>
      <c r="C5">
        <v>3</v>
      </c>
      <c r="D5" s="76">
        <v>43313</v>
      </c>
      <c r="E5" s="82">
        <v>14</v>
      </c>
      <c r="F5" s="76">
        <f t="shared" si="0"/>
        <v>43327</v>
      </c>
      <c r="G5" t="s">
        <v>52</v>
      </c>
      <c r="K5" s="61"/>
      <c r="L5" s="323">
        <v>2018</v>
      </c>
      <c r="M5" s="324"/>
      <c r="N5" s="324"/>
      <c r="O5" s="324"/>
      <c r="P5" s="324"/>
      <c r="Q5" s="324"/>
      <c r="R5" s="324"/>
      <c r="S5" s="324"/>
      <c r="T5" s="324"/>
      <c r="U5" s="324"/>
      <c r="V5" s="324"/>
      <c r="W5" s="325"/>
      <c r="X5" s="323">
        <v>2019</v>
      </c>
      <c r="Y5" s="324"/>
      <c r="Z5" s="324"/>
      <c r="AA5" s="324"/>
      <c r="AB5" s="324"/>
      <c r="AC5" s="324"/>
      <c r="AD5" s="324"/>
      <c r="AE5" s="324"/>
      <c r="AF5" s="324"/>
      <c r="AG5" s="324"/>
      <c r="AH5" s="324"/>
      <c r="AI5" s="325"/>
      <c r="AJ5" s="323">
        <v>2020</v>
      </c>
      <c r="AK5" s="324"/>
      <c r="AL5" s="324"/>
      <c r="AM5" s="324"/>
      <c r="AN5" s="324"/>
      <c r="AO5" s="324"/>
      <c r="AP5" s="324"/>
      <c r="AQ5" s="324"/>
      <c r="AR5" s="324"/>
      <c r="AS5" s="324"/>
      <c r="AT5" s="324"/>
      <c r="AU5" s="325"/>
      <c r="AV5" s="323">
        <v>2021</v>
      </c>
      <c r="AW5" s="324"/>
      <c r="AX5" s="324"/>
      <c r="AY5" s="324"/>
      <c r="AZ5" s="324"/>
      <c r="BA5" s="324"/>
      <c r="BB5" s="324"/>
      <c r="BC5" s="324"/>
      <c r="BD5" s="324"/>
      <c r="BE5" s="324"/>
      <c r="BF5" s="324"/>
      <c r="BG5" s="325"/>
      <c r="BH5" s="323">
        <v>2022</v>
      </c>
      <c r="BI5" s="324"/>
      <c r="BJ5" s="324"/>
      <c r="BK5" s="324"/>
      <c r="BL5" s="324"/>
      <c r="BM5" s="324"/>
      <c r="BN5" s="324"/>
      <c r="BO5" s="324"/>
      <c r="BP5" s="324"/>
      <c r="BQ5" s="324"/>
      <c r="BR5" s="324"/>
      <c r="BS5" s="325"/>
      <c r="BT5" s="323">
        <v>2023</v>
      </c>
      <c r="BU5" s="324"/>
      <c r="BV5" s="324"/>
      <c r="BW5" s="324"/>
      <c r="BX5" s="324"/>
      <c r="BY5" s="324"/>
      <c r="BZ5" s="324"/>
      <c r="CA5" s="324"/>
      <c r="CB5" s="324"/>
      <c r="CC5" s="324"/>
      <c r="CD5" s="324"/>
      <c r="CE5" s="325"/>
      <c r="CF5" s="323">
        <v>2024</v>
      </c>
      <c r="CG5" s="324"/>
      <c r="CH5" s="324"/>
      <c r="CI5" s="324"/>
      <c r="CJ5" s="324"/>
      <c r="CK5" s="324"/>
      <c r="CL5" s="324"/>
      <c r="CM5" s="324"/>
      <c r="CN5" s="324"/>
      <c r="CO5" s="324"/>
      <c r="CP5" s="324"/>
      <c r="CQ5" s="325"/>
    </row>
    <row r="6" spans="1:95" ht="17.25" thickBot="1" x14ac:dyDescent="0.35">
      <c r="A6" t="s">
        <v>57</v>
      </c>
      <c r="B6" t="s">
        <v>14</v>
      </c>
      <c r="C6">
        <v>2</v>
      </c>
      <c r="D6" s="76">
        <v>43394</v>
      </c>
      <c r="E6" s="82">
        <v>16</v>
      </c>
      <c r="F6" s="76">
        <f t="shared" si="0"/>
        <v>43410</v>
      </c>
      <c r="G6" t="s">
        <v>52</v>
      </c>
      <c r="H6" t="s">
        <v>58</v>
      </c>
      <c r="J6" s="1" t="s">
        <v>0</v>
      </c>
      <c r="K6" s="2" t="s">
        <v>1</v>
      </c>
      <c r="L6" s="23" t="s">
        <v>2</v>
      </c>
      <c r="M6" s="24" t="s">
        <v>3</v>
      </c>
      <c r="N6" s="24" t="s">
        <v>4</v>
      </c>
      <c r="O6" s="24" t="s">
        <v>5</v>
      </c>
      <c r="P6" s="24" t="s">
        <v>6</v>
      </c>
      <c r="Q6" s="24" t="s">
        <v>7</v>
      </c>
      <c r="R6" s="24" t="s">
        <v>8</v>
      </c>
      <c r="S6" s="24" t="s">
        <v>9</v>
      </c>
      <c r="T6" s="24" t="s">
        <v>10</v>
      </c>
      <c r="U6" s="24" t="s">
        <v>11</v>
      </c>
      <c r="V6" s="24" t="s">
        <v>12</v>
      </c>
      <c r="W6" s="25" t="s">
        <v>13</v>
      </c>
      <c r="X6" s="23" t="s">
        <v>2</v>
      </c>
      <c r="Y6" s="24" t="s">
        <v>3</v>
      </c>
      <c r="Z6" s="24" t="s">
        <v>4</v>
      </c>
      <c r="AA6" s="24" t="s">
        <v>5</v>
      </c>
      <c r="AB6" s="24" t="s">
        <v>6</v>
      </c>
      <c r="AC6" s="24" t="s">
        <v>7</v>
      </c>
      <c r="AD6" s="24" t="s">
        <v>8</v>
      </c>
      <c r="AE6" s="24" t="s">
        <v>9</v>
      </c>
      <c r="AF6" s="24" t="s">
        <v>10</v>
      </c>
      <c r="AG6" s="24" t="s">
        <v>11</v>
      </c>
      <c r="AH6" s="24" t="s">
        <v>12</v>
      </c>
      <c r="AI6" s="25" t="s">
        <v>13</v>
      </c>
      <c r="AJ6" s="23" t="s">
        <v>2</v>
      </c>
      <c r="AK6" s="24" t="s">
        <v>3</v>
      </c>
      <c r="AL6" s="24" t="s">
        <v>4</v>
      </c>
      <c r="AM6" s="24" t="s">
        <v>5</v>
      </c>
      <c r="AN6" s="24" t="s">
        <v>6</v>
      </c>
      <c r="AO6" s="24" t="s">
        <v>7</v>
      </c>
      <c r="AP6" s="24" t="s">
        <v>8</v>
      </c>
      <c r="AQ6" s="24" t="s">
        <v>9</v>
      </c>
      <c r="AR6" s="24" t="s">
        <v>10</v>
      </c>
      <c r="AS6" s="24" t="s">
        <v>11</v>
      </c>
      <c r="AT6" s="24" t="s">
        <v>12</v>
      </c>
      <c r="AU6" s="25" t="s">
        <v>13</v>
      </c>
      <c r="AV6" s="23" t="s">
        <v>2</v>
      </c>
      <c r="AW6" s="24" t="s">
        <v>3</v>
      </c>
      <c r="AX6" s="24" t="s">
        <v>4</v>
      </c>
      <c r="AY6" s="24" t="s">
        <v>5</v>
      </c>
      <c r="AZ6" s="24" t="s">
        <v>6</v>
      </c>
      <c r="BA6" s="24" t="s">
        <v>7</v>
      </c>
      <c r="BB6" s="24" t="s">
        <v>8</v>
      </c>
      <c r="BC6" s="24" t="s">
        <v>9</v>
      </c>
      <c r="BD6" s="24" t="s">
        <v>10</v>
      </c>
      <c r="BE6" s="24" t="s">
        <v>11</v>
      </c>
      <c r="BF6" s="24" t="s">
        <v>12</v>
      </c>
      <c r="BG6" s="25" t="s">
        <v>13</v>
      </c>
      <c r="BH6" s="23" t="s">
        <v>2</v>
      </c>
      <c r="BI6" s="24" t="s">
        <v>3</v>
      </c>
      <c r="BJ6" s="24" t="s">
        <v>4</v>
      </c>
      <c r="BK6" s="24" t="s">
        <v>5</v>
      </c>
      <c r="BL6" s="24" t="s">
        <v>6</v>
      </c>
      <c r="BM6" s="24" t="s">
        <v>7</v>
      </c>
      <c r="BN6" s="24" t="s">
        <v>8</v>
      </c>
      <c r="BO6" s="24" t="s">
        <v>9</v>
      </c>
      <c r="BP6" s="24" t="s">
        <v>10</v>
      </c>
      <c r="BQ6" s="24" t="s">
        <v>11</v>
      </c>
      <c r="BR6" s="24" t="s">
        <v>12</v>
      </c>
      <c r="BS6" s="25" t="s">
        <v>13</v>
      </c>
      <c r="BT6" s="23" t="s">
        <v>2</v>
      </c>
      <c r="BU6" s="24" t="s">
        <v>3</v>
      </c>
      <c r="BV6" s="24" t="s">
        <v>4</v>
      </c>
      <c r="BW6" s="24" t="s">
        <v>5</v>
      </c>
      <c r="BX6" s="24" t="s">
        <v>6</v>
      </c>
      <c r="BY6" s="24" t="s">
        <v>7</v>
      </c>
      <c r="BZ6" s="24" t="s">
        <v>8</v>
      </c>
      <c r="CA6" s="24" t="s">
        <v>9</v>
      </c>
      <c r="CB6" s="24" t="s">
        <v>10</v>
      </c>
      <c r="CC6" s="24" t="s">
        <v>11</v>
      </c>
      <c r="CD6" s="24" t="s">
        <v>12</v>
      </c>
      <c r="CE6" s="25" t="s">
        <v>13</v>
      </c>
      <c r="CF6" s="23" t="s">
        <v>2</v>
      </c>
      <c r="CG6" s="24" t="s">
        <v>3</v>
      </c>
      <c r="CH6" s="24" t="s">
        <v>4</v>
      </c>
      <c r="CI6" s="24" t="s">
        <v>5</v>
      </c>
      <c r="CJ6" s="24" t="s">
        <v>6</v>
      </c>
      <c r="CK6" s="24" t="s">
        <v>7</v>
      </c>
      <c r="CL6" s="24" t="s">
        <v>8</v>
      </c>
      <c r="CM6" s="24" t="s">
        <v>9</v>
      </c>
      <c r="CN6" s="24" t="s">
        <v>10</v>
      </c>
      <c r="CO6" s="24" t="s">
        <v>11</v>
      </c>
      <c r="CP6" s="24" t="s">
        <v>12</v>
      </c>
      <c r="CQ6" s="25" t="s">
        <v>13</v>
      </c>
    </row>
    <row r="7" spans="1:95" x14ac:dyDescent="0.3">
      <c r="A7" t="s">
        <v>59</v>
      </c>
      <c r="B7" t="s">
        <v>42</v>
      </c>
      <c r="C7">
        <v>3</v>
      </c>
      <c r="D7" s="76">
        <v>43313</v>
      </c>
      <c r="E7" s="82">
        <v>20</v>
      </c>
      <c r="F7" s="76">
        <f t="shared" si="0"/>
        <v>43333</v>
      </c>
      <c r="G7" t="s">
        <v>52</v>
      </c>
      <c r="H7" t="s">
        <v>60</v>
      </c>
      <c r="J7" s="3" t="s">
        <v>14</v>
      </c>
      <c r="K7" s="4">
        <v>1</v>
      </c>
      <c r="L7" s="28"/>
      <c r="M7" s="29"/>
      <c r="N7" s="72"/>
      <c r="O7" s="307" t="s">
        <v>15</v>
      </c>
      <c r="P7" s="308"/>
      <c r="Q7" s="309"/>
      <c r="R7" s="29"/>
      <c r="S7" s="29"/>
      <c r="T7" s="29"/>
      <c r="U7" s="29"/>
      <c r="V7" s="29"/>
      <c r="W7" s="30"/>
      <c r="X7" s="28"/>
      <c r="Y7" s="29"/>
      <c r="Z7" s="29"/>
      <c r="AA7" s="29"/>
      <c r="AB7" s="29"/>
      <c r="AC7" s="29"/>
      <c r="AD7" s="29"/>
      <c r="AE7" s="29"/>
      <c r="AF7" s="29"/>
      <c r="AG7" s="29"/>
      <c r="AH7" s="29"/>
      <c r="AI7" s="30"/>
      <c r="AJ7" s="28"/>
      <c r="AK7" s="29"/>
      <c r="AL7" s="29"/>
      <c r="AM7" s="29"/>
      <c r="AN7" s="29"/>
      <c r="AO7" s="29"/>
      <c r="AP7" s="29"/>
      <c r="AQ7" s="27" t="s">
        <v>16</v>
      </c>
      <c r="AR7" s="29"/>
      <c r="AS7" s="29"/>
      <c r="AT7" s="29"/>
      <c r="AU7" s="30"/>
      <c r="AV7" s="28"/>
      <c r="AW7" s="29"/>
      <c r="AX7" s="29"/>
      <c r="AY7" s="29"/>
      <c r="AZ7" s="29"/>
      <c r="BA7" s="29"/>
      <c r="BB7" s="29"/>
      <c r="BC7" s="29"/>
      <c r="BD7" s="29"/>
      <c r="BE7" s="29"/>
      <c r="BF7" s="29"/>
      <c r="BG7" s="30"/>
      <c r="BH7" s="28"/>
      <c r="BI7" s="68"/>
      <c r="BJ7" s="326" t="s">
        <v>17</v>
      </c>
      <c r="BK7" s="326"/>
      <c r="BL7" s="327"/>
      <c r="BM7" s="29"/>
      <c r="BN7" s="29"/>
      <c r="BO7" s="29"/>
      <c r="BP7" s="29"/>
      <c r="BQ7" s="29"/>
      <c r="BR7" s="29"/>
      <c r="BS7" s="30"/>
      <c r="BT7" s="28"/>
      <c r="BU7" s="68"/>
      <c r="BV7" s="29"/>
      <c r="BW7" s="29"/>
      <c r="BX7" s="29"/>
      <c r="BY7" s="29"/>
      <c r="BZ7" s="29"/>
      <c r="CA7" s="29"/>
      <c r="CB7" s="29"/>
      <c r="CC7" s="29"/>
      <c r="CD7" s="29"/>
      <c r="CE7" s="30"/>
      <c r="CF7" s="28"/>
      <c r="CG7" s="68"/>
      <c r="CH7" s="29"/>
      <c r="CI7" s="29"/>
      <c r="CJ7" s="29"/>
      <c r="CK7" s="29"/>
      <c r="CL7" s="29"/>
      <c r="CM7" s="29"/>
      <c r="CN7" s="29"/>
      <c r="CO7" s="29"/>
      <c r="CP7" s="29"/>
      <c r="CQ7" s="30"/>
    </row>
    <row r="8" spans="1:95" x14ac:dyDescent="0.3">
      <c r="A8" t="s">
        <v>61</v>
      </c>
      <c r="B8" t="s">
        <v>43</v>
      </c>
      <c r="C8">
        <v>6</v>
      </c>
      <c r="D8" s="76">
        <v>43160</v>
      </c>
      <c r="E8" s="82">
        <v>14</v>
      </c>
      <c r="F8" s="76">
        <f t="shared" si="0"/>
        <v>43174</v>
      </c>
      <c r="G8" t="s">
        <v>62</v>
      </c>
      <c r="H8" t="s">
        <v>63</v>
      </c>
      <c r="J8" s="5" t="s">
        <v>14</v>
      </c>
      <c r="K8" s="6">
        <v>2</v>
      </c>
      <c r="L8" s="31"/>
      <c r="M8" s="32"/>
      <c r="N8" s="32"/>
      <c r="P8" s="26" t="s">
        <v>16</v>
      </c>
      <c r="Q8" s="32"/>
      <c r="R8" s="32"/>
      <c r="S8" s="32"/>
      <c r="T8" s="32"/>
      <c r="U8" s="302" t="s">
        <v>16</v>
      </c>
      <c r="V8" s="303"/>
      <c r="W8" s="33"/>
      <c r="X8" s="31"/>
      <c r="Y8" s="32"/>
      <c r="Z8" s="32"/>
      <c r="AA8" s="32"/>
      <c r="AB8" s="32"/>
      <c r="AC8" s="32"/>
      <c r="AD8" s="32"/>
      <c r="AE8" s="26" t="s">
        <v>16</v>
      </c>
      <c r="AF8" s="32"/>
      <c r="AG8" s="32"/>
      <c r="AH8" s="32"/>
      <c r="AI8" s="33"/>
      <c r="AJ8" s="31"/>
      <c r="AK8" s="32"/>
      <c r="AL8" s="32"/>
      <c r="AM8" s="32"/>
      <c r="AN8" s="32"/>
      <c r="AO8" s="32"/>
      <c r="AP8" s="32"/>
      <c r="AQ8" s="32"/>
      <c r="AR8" s="32"/>
      <c r="AS8" s="32"/>
      <c r="AT8" s="32"/>
      <c r="AU8" s="33"/>
      <c r="AV8" s="31"/>
      <c r="AX8" s="328" t="s">
        <v>18</v>
      </c>
      <c r="AY8" s="329"/>
      <c r="AZ8" s="330"/>
      <c r="BA8" s="32"/>
      <c r="BB8" s="32"/>
      <c r="BC8" s="32"/>
      <c r="BD8" s="32"/>
      <c r="BE8" s="32"/>
      <c r="BF8" s="32"/>
      <c r="BG8" s="33"/>
      <c r="BH8" s="31"/>
      <c r="BI8" s="32"/>
      <c r="BJ8" s="32"/>
      <c r="BK8" s="32"/>
      <c r="BL8" s="32"/>
      <c r="BM8" s="32"/>
      <c r="BN8" s="32"/>
      <c r="BO8" s="32"/>
      <c r="BP8" s="32"/>
      <c r="BQ8" s="32"/>
      <c r="BR8" s="32"/>
      <c r="BS8" s="33"/>
      <c r="BT8" s="31"/>
      <c r="BU8" s="32"/>
      <c r="BV8" s="32"/>
      <c r="BW8" s="32"/>
      <c r="BX8" s="32"/>
      <c r="BY8" s="32"/>
      <c r="BZ8" s="32"/>
      <c r="CA8" s="32"/>
      <c r="CB8" s="32"/>
      <c r="CC8" s="32"/>
      <c r="CD8" s="32"/>
      <c r="CE8" s="33"/>
      <c r="CF8" s="31"/>
      <c r="CG8" s="32"/>
      <c r="CH8" s="32"/>
      <c r="CI8" s="32"/>
      <c r="CJ8" s="32"/>
      <c r="CK8" s="32"/>
      <c r="CL8" s="32"/>
      <c r="CM8" s="32"/>
      <c r="CN8" s="32"/>
      <c r="CO8" s="32"/>
      <c r="CP8" s="32"/>
      <c r="CQ8" s="33"/>
    </row>
    <row r="9" spans="1:95" x14ac:dyDescent="0.3">
      <c r="A9" t="s">
        <v>64</v>
      </c>
      <c r="B9" t="s">
        <v>43</v>
      </c>
      <c r="C9">
        <v>5</v>
      </c>
      <c r="D9" s="76">
        <v>43317</v>
      </c>
      <c r="E9" s="82">
        <v>45</v>
      </c>
      <c r="F9" s="76">
        <f t="shared" si="0"/>
        <v>43362</v>
      </c>
      <c r="G9" t="s">
        <v>62</v>
      </c>
      <c r="H9" t="s">
        <v>65</v>
      </c>
      <c r="J9" s="5" t="s">
        <v>14</v>
      </c>
      <c r="K9" s="6">
        <v>3</v>
      </c>
      <c r="L9" s="31"/>
      <c r="M9" s="32"/>
      <c r="N9" s="32"/>
      <c r="O9" s="32"/>
      <c r="P9" s="32"/>
      <c r="Q9" s="32"/>
      <c r="R9" s="32"/>
      <c r="S9" s="26" t="s">
        <v>16</v>
      </c>
      <c r="T9" s="67"/>
      <c r="U9" s="32"/>
      <c r="V9" s="32"/>
      <c r="W9" s="33"/>
      <c r="X9" s="31"/>
      <c r="Y9" s="32"/>
      <c r="Z9" s="32"/>
      <c r="AA9" s="32"/>
      <c r="AB9" s="32"/>
      <c r="AC9" s="32"/>
      <c r="AD9" s="32"/>
      <c r="AE9" s="32"/>
      <c r="AF9" s="32"/>
      <c r="AG9" s="32"/>
      <c r="AH9" s="32"/>
      <c r="AI9" s="33"/>
      <c r="AJ9" s="31"/>
      <c r="AK9" s="32"/>
      <c r="AL9" s="328" t="s">
        <v>18</v>
      </c>
      <c r="AM9" s="329"/>
      <c r="AN9" s="330"/>
      <c r="AO9" s="32"/>
      <c r="AP9" s="32"/>
      <c r="AQ9" s="32"/>
      <c r="AR9" s="32"/>
      <c r="AS9" s="32"/>
      <c r="AT9" s="32"/>
      <c r="AU9" s="33"/>
      <c r="AV9" s="31"/>
      <c r="AW9" s="32"/>
      <c r="AX9" s="32"/>
      <c r="AY9" s="32"/>
      <c r="AZ9" s="32"/>
      <c r="BA9" s="32"/>
      <c r="BB9" s="32"/>
      <c r="BC9" s="32"/>
      <c r="BD9" s="32"/>
      <c r="BE9" s="32"/>
      <c r="BF9" s="32"/>
      <c r="BG9" s="33"/>
      <c r="BH9" s="31"/>
      <c r="BI9" s="32"/>
      <c r="BJ9" s="32"/>
      <c r="BK9" s="32"/>
      <c r="BL9" s="32"/>
      <c r="BM9" s="32"/>
      <c r="BN9" s="32"/>
      <c r="BO9" s="32"/>
      <c r="BP9" s="32"/>
      <c r="BQ9" s="32"/>
      <c r="BR9" s="26" t="s">
        <v>16</v>
      </c>
      <c r="BS9" s="33"/>
      <c r="BT9" s="31"/>
      <c r="BU9" s="32"/>
      <c r="BV9" s="32"/>
      <c r="BW9" s="32"/>
      <c r="BX9" s="32"/>
      <c r="BY9" s="32"/>
      <c r="BZ9" s="32"/>
      <c r="CA9" s="32"/>
      <c r="CB9" s="32"/>
      <c r="CC9" s="32"/>
      <c r="CD9" s="32"/>
      <c r="CE9" s="33"/>
      <c r="CF9" s="31"/>
      <c r="CG9" s="32"/>
      <c r="CH9" s="32"/>
      <c r="CI9" s="32"/>
      <c r="CJ9" s="32"/>
      <c r="CK9" s="32"/>
      <c r="CL9" s="32"/>
      <c r="CM9" s="32"/>
      <c r="CN9" s="32"/>
      <c r="CO9" s="32"/>
      <c r="CP9" s="32"/>
      <c r="CQ9" s="33"/>
    </row>
    <row r="10" spans="1:95" ht="17.25" thickBot="1" x14ac:dyDescent="0.35">
      <c r="A10" t="s">
        <v>66</v>
      </c>
      <c r="B10" t="s">
        <v>31</v>
      </c>
      <c r="C10">
        <v>1</v>
      </c>
      <c r="D10" s="76">
        <v>43221</v>
      </c>
      <c r="E10" s="82">
        <v>14</v>
      </c>
      <c r="F10" s="76">
        <f t="shared" si="0"/>
        <v>43235</v>
      </c>
      <c r="G10" t="s">
        <v>67</v>
      </c>
      <c r="H10" t="s">
        <v>63</v>
      </c>
      <c r="J10" s="7" t="s">
        <v>14</v>
      </c>
      <c r="K10" s="8">
        <v>4</v>
      </c>
      <c r="L10" s="35"/>
      <c r="M10" s="36"/>
      <c r="N10" s="36"/>
      <c r="O10" s="36"/>
      <c r="P10" s="36"/>
      <c r="Q10" s="36"/>
      <c r="R10" s="36"/>
      <c r="S10" s="36"/>
      <c r="T10" s="36"/>
      <c r="U10" s="36"/>
      <c r="V10" s="38"/>
      <c r="W10" s="37"/>
      <c r="X10" s="35"/>
      <c r="Y10" s="36"/>
      <c r="Z10" s="295" t="s">
        <v>18</v>
      </c>
      <c r="AA10" s="296"/>
      <c r="AB10" s="316"/>
      <c r="AC10" s="36"/>
      <c r="AD10" s="36"/>
      <c r="AE10" s="36"/>
      <c r="AF10" s="36"/>
      <c r="AG10" s="36"/>
      <c r="AH10" s="36"/>
      <c r="AI10" s="37"/>
      <c r="AJ10" s="35"/>
      <c r="AK10" s="36"/>
      <c r="AL10" s="64"/>
      <c r="AM10" s="71" t="s">
        <v>16</v>
      </c>
      <c r="AN10" s="64"/>
      <c r="AO10" s="36"/>
      <c r="AP10" s="36"/>
      <c r="AQ10" s="36"/>
      <c r="AR10" s="36"/>
      <c r="AS10" s="36"/>
      <c r="AT10" s="36"/>
      <c r="AU10" s="37"/>
      <c r="AV10" s="35"/>
      <c r="AW10" s="36"/>
      <c r="AX10" s="36"/>
      <c r="AY10" s="36"/>
      <c r="AZ10" s="36"/>
      <c r="BA10" s="36"/>
      <c r="BB10" s="36"/>
      <c r="BC10" s="36"/>
      <c r="BD10" s="36"/>
      <c r="BE10" s="26" t="s">
        <v>16</v>
      </c>
      <c r="BF10" s="36"/>
      <c r="BG10" s="37"/>
      <c r="BH10" s="35"/>
      <c r="BI10" s="36"/>
      <c r="BJ10" s="36"/>
      <c r="BK10" s="36"/>
      <c r="BL10" s="36"/>
      <c r="BM10" s="36"/>
      <c r="BN10" s="36"/>
      <c r="BO10" s="36"/>
      <c r="BP10" s="36"/>
      <c r="BQ10" s="36"/>
      <c r="BR10" s="36"/>
      <c r="BS10" s="37"/>
      <c r="BT10" s="35"/>
      <c r="BU10" s="36"/>
      <c r="BV10" s="36"/>
      <c r="BW10" s="314" t="s">
        <v>19</v>
      </c>
      <c r="BX10" s="315"/>
      <c r="BY10" s="36"/>
      <c r="BZ10" s="36"/>
      <c r="CA10" s="36"/>
      <c r="CB10" s="36"/>
      <c r="CC10" s="36"/>
      <c r="CD10" s="36"/>
      <c r="CE10" s="37"/>
      <c r="CF10" s="35"/>
      <c r="CG10" s="36"/>
      <c r="CH10" s="36"/>
      <c r="CI10" s="74"/>
      <c r="CJ10" s="75"/>
      <c r="CK10" s="36"/>
      <c r="CL10" s="36"/>
      <c r="CM10" s="36"/>
      <c r="CN10" s="36"/>
      <c r="CO10" s="36"/>
      <c r="CP10" s="36"/>
      <c r="CQ10" s="37"/>
    </row>
    <row r="11" spans="1:95" x14ac:dyDescent="0.3">
      <c r="A11" t="s">
        <v>68</v>
      </c>
      <c r="B11" t="s">
        <v>31</v>
      </c>
      <c r="C11">
        <v>1</v>
      </c>
      <c r="D11" s="76">
        <v>43405</v>
      </c>
      <c r="E11" s="82">
        <v>14</v>
      </c>
      <c r="F11" s="76">
        <f t="shared" si="0"/>
        <v>43419</v>
      </c>
      <c r="G11" t="s">
        <v>67</v>
      </c>
      <c r="H11" t="s">
        <v>63</v>
      </c>
      <c r="J11" s="3" t="s">
        <v>20</v>
      </c>
      <c r="K11" s="4">
        <v>1</v>
      </c>
      <c r="L11" s="43"/>
      <c r="M11" s="44"/>
      <c r="N11" s="44"/>
      <c r="O11" s="44"/>
      <c r="P11" s="44"/>
      <c r="Q11" s="44"/>
      <c r="R11" s="44"/>
      <c r="S11" s="44"/>
      <c r="T11" s="44"/>
      <c r="U11" s="44"/>
      <c r="V11" s="44"/>
      <c r="W11" s="45"/>
      <c r="X11" s="39"/>
      <c r="Y11" s="40"/>
      <c r="Z11" s="40"/>
      <c r="AA11" s="40"/>
      <c r="AB11" s="40"/>
      <c r="AC11" s="40"/>
      <c r="AD11" s="40"/>
      <c r="AE11" s="40"/>
      <c r="AF11" s="40"/>
      <c r="AG11" s="46"/>
      <c r="AH11" s="40"/>
      <c r="AI11" s="42"/>
      <c r="AJ11" s="39"/>
      <c r="AK11" s="40"/>
      <c r="AL11" s="40"/>
      <c r="AM11" s="40"/>
      <c r="AN11" s="40"/>
      <c r="AO11" s="40"/>
      <c r="AP11" s="40"/>
      <c r="AQ11" s="40"/>
      <c r="AR11" s="40"/>
      <c r="AS11" s="40"/>
      <c r="AT11" s="40"/>
      <c r="AU11" s="42"/>
      <c r="AV11" s="39"/>
      <c r="AW11" s="40"/>
      <c r="AX11" s="40"/>
      <c r="AY11" s="40"/>
      <c r="AZ11" s="40"/>
      <c r="BA11" s="40"/>
      <c r="BB11" s="40"/>
      <c r="BC11" s="26" t="s">
        <v>16</v>
      </c>
      <c r="BD11" s="40"/>
      <c r="BE11" s="40"/>
      <c r="BF11" s="40"/>
      <c r="BG11" s="42"/>
      <c r="BH11" s="39"/>
      <c r="BI11" s="40"/>
      <c r="BJ11" s="40"/>
      <c r="BK11" s="40"/>
      <c r="BL11" s="40"/>
      <c r="BM11" s="40"/>
      <c r="BN11" s="40"/>
      <c r="BO11" s="40"/>
      <c r="BP11" s="40"/>
      <c r="BQ11" s="40"/>
      <c r="BR11" s="40"/>
      <c r="BS11" s="42"/>
      <c r="BT11" s="39"/>
      <c r="BU11" s="40"/>
      <c r="BV11" s="40"/>
      <c r="BW11" s="40"/>
      <c r="BX11" s="40"/>
      <c r="BY11" s="40"/>
      <c r="BZ11" s="40"/>
      <c r="CA11" s="40"/>
      <c r="CB11" s="40"/>
      <c r="CC11" s="40"/>
      <c r="CD11" s="40"/>
      <c r="CE11" s="42"/>
      <c r="CF11" s="39"/>
      <c r="CG11" s="40"/>
      <c r="CH11" s="40"/>
      <c r="CI11" s="40"/>
      <c r="CJ11" s="40"/>
      <c r="CK11" s="40"/>
      <c r="CL11" s="40"/>
      <c r="CM11" s="40"/>
      <c r="CN11" s="40"/>
      <c r="CO11" s="40"/>
      <c r="CP11" s="40"/>
      <c r="CQ11" s="42"/>
    </row>
    <row r="12" spans="1:95" x14ac:dyDescent="0.3">
      <c r="A12" t="s">
        <v>69</v>
      </c>
      <c r="B12" t="s">
        <v>31</v>
      </c>
      <c r="C12">
        <v>2</v>
      </c>
      <c r="D12" s="76">
        <v>43191</v>
      </c>
      <c r="E12" s="82">
        <v>14</v>
      </c>
      <c r="F12" s="76">
        <f t="shared" si="0"/>
        <v>43205</v>
      </c>
      <c r="G12" t="s">
        <v>67</v>
      </c>
      <c r="H12" t="s">
        <v>63</v>
      </c>
      <c r="J12" s="5" t="s">
        <v>20</v>
      </c>
      <c r="K12" s="6">
        <v>2</v>
      </c>
      <c r="L12" s="47"/>
      <c r="M12" s="41"/>
      <c r="N12" s="41"/>
      <c r="O12" s="41"/>
      <c r="P12" s="41"/>
      <c r="Q12" s="41"/>
      <c r="R12" s="41"/>
      <c r="S12" s="41"/>
      <c r="T12" s="41"/>
      <c r="U12" s="41"/>
      <c r="V12" s="41"/>
      <c r="W12" s="41"/>
      <c r="X12" s="47"/>
      <c r="Y12" s="41"/>
      <c r="Z12" s="41"/>
      <c r="AA12" s="41"/>
      <c r="AB12" s="41"/>
      <c r="AC12" s="41"/>
      <c r="AD12" s="41"/>
      <c r="AE12" s="41"/>
      <c r="AF12" s="331" t="s">
        <v>33</v>
      </c>
      <c r="AG12" s="332"/>
      <c r="AH12" s="48"/>
      <c r="AI12" s="70" t="s">
        <v>21</v>
      </c>
      <c r="AJ12" s="47"/>
      <c r="AK12" s="41"/>
      <c r="AL12" s="41"/>
      <c r="AM12" s="41"/>
      <c r="AN12" s="41"/>
      <c r="AO12" s="41"/>
      <c r="AP12" s="41"/>
      <c r="AQ12" s="41"/>
      <c r="AR12" s="41"/>
      <c r="AS12" s="41"/>
      <c r="AT12" s="41"/>
      <c r="AU12" s="49"/>
      <c r="AV12" s="47"/>
      <c r="AW12" s="41"/>
      <c r="AX12" s="41"/>
      <c r="AY12" s="41"/>
      <c r="AZ12" s="41"/>
      <c r="BA12" s="41"/>
      <c r="BB12" s="41"/>
      <c r="BC12" s="41"/>
      <c r="BD12" s="41"/>
      <c r="BE12" s="41"/>
      <c r="BF12" s="41"/>
      <c r="BG12" s="49"/>
      <c r="BH12" s="47"/>
      <c r="BI12" s="41"/>
      <c r="BJ12" s="41"/>
      <c r="BK12" s="41"/>
      <c r="BL12" s="41"/>
      <c r="BM12" s="41"/>
      <c r="BN12" s="41"/>
      <c r="BO12" s="41"/>
      <c r="BP12" s="41"/>
      <c r="BQ12" s="41"/>
      <c r="BR12" s="41"/>
      <c r="BS12" s="49"/>
      <c r="BT12" s="47"/>
      <c r="BU12" s="41"/>
      <c r="BV12" s="41"/>
      <c r="BW12" s="41"/>
      <c r="BX12" s="41"/>
      <c r="BY12" s="41"/>
      <c r="BZ12" s="41"/>
      <c r="CA12" s="41"/>
      <c r="CB12" s="41"/>
      <c r="CC12" s="41"/>
      <c r="CD12" s="41"/>
      <c r="CE12" s="49"/>
      <c r="CF12" s="47"/>
      <c r="CG12" s="41"/>
      <c r="CH12" s="41"/>
      <c r="CI12" s="41"/>
      <c r="CJ12" s="41"/>
      <c r="CK12" s="41"/>
      <c r="CL12" s="41"/>
      <c r="CM12" s="41"/>
      <c r="CN12" s="41"/>
      <c r="CO12" s="41"/>
      <c r="CP12" s="41"/>
      <c r="CQ12" s="49"/>
    </row>
    <row r="13" spans="1:95" x14ac:dyDescent="0.3">
      <c r="A13" t="s">
        <v>70</v>
      </c>
      <c r="B13" t="s">
        <v>31</v>
      </c>
      <c r="C13">
        <v>2</v>
      </c>
      <c r="D13" s="76">
        <v>43435</v>
      </c>
      <c r="E13" s="82">
        <v>14</v>
      </c>
      <c r="F13" s="76">
        <f t="shared" si="0"/>
        <v>43449</v>
      </c>
      <c r="G13" t="s">
        <v>67</v>
      </c>
      <c r="H13" t="s">
        <v>63</v>
      </c>
      <c r="J13" s="5" t="s">
        <v>20</v>
      </c>
      <c r="K13" s="6">
        <v>3</v>
      </c>
      <c r="L13" s="50"/>
      <c r="M13" s="48"/>
      <c r="N13" s="48"/>
      <c r="O13" s="48"/>
      <c r="P13" s="48"/>
      <c r="Q13" s="48"/>
      <c r="R13" s="48"/>
      <c r="S13" s="48"/>
      <c r="T13" s="48"/>
      <c r="U13" s="310" t="s">
        <v>15</v>
      </c>
      <c r="V13" s="311"/>
      <c r="W13" s="51"/>
      <c r="X13" s="50"/>
      <c r="Y13" s="48"/>
      <c r="Z13" s="48"/>
      <c r="AA13" s="48"/>
      <c r="AB13" s="48"/>
      <c r="AC13" s="48"/>
      <c r="AD13" s="48"/>
      <c r="AE13" s="48"/>
      <c r="AF13" s="48"/>
      <c r="AG13" s="48"/>
      <c r="AH13" s="48"/>
      <c r="AI13" s="51"/>
      <c r="AJ13" s="50"/>
      <c r="AK13" s="48"/>
      <c r="AL13" s="48"/>
      <c r="AM13" s="48"/>
      <c r="AN13" s="48"/>
      <c r="AO13" s="48"/>
      <c r="AP13" s="48"/>
      <c r="AQ13" s="48"/>
      <c r="AR13" s="48"/>
      <c r="AS13" s="48"/>
      <c r="AT13" s="48"/>
      <c r="AU13" s="51"/>
      <c r="AV13" s="50"/>
      <c r="AW13" s="48"/>
      <c r="AX13" s="48"/>
      <c r="AY13" s="48"/>
      <c r="AZ13" s="48"/>
      <c r="BA13" s="48"/>
      <c r="BB13" s="48"/>
      <c r="BC13" s="48"/>
      <c r="BD13" s="48"/>
      <c r="BE13" s="48"/>
      <c r="BF13" s="26" t="s">
        <v>16</v>
      </c>
      <c r="BG13" s="51"/>
      <c r="BH13" s="50"/>
      <c r="BI13" s="48"/>
      <c r="BJ13" s="48"/>
      <c r="BK13" s="48"/>
      <c r="BL13" s="48"/>
      <c r="BM13" s="48"/>
      <c r="BN13" s="48"/>
      <c r="BO13" s="48"/>
      <c r="BP13" s="48"/>
      <c r="BQ13" s="48"/>
      <c r="BR13" s="48"/>
      <c r="BS13" s="51"/>
      <c r="BT13" s="50"/>
      <c r="BU13" s="48"/>
      <c r="BV13" s="48"/>
      <c r="BW13" s="48"/>
      <c r="BX13" s="48"/>
      <c r="BY13" s="48"/>
      <c r="BZ13" s="48"/>
      <c r="CA13" s="48"/>
      <c r="CB13" s="48"/>
      <c r="CC13" s="48"/>
      <c r="CD13" s="48"/>
      <c r="CE13" s="51"/>
      <c r="CF13" s="50"/>
      <c r="CG13" s="48"/>
      <c r="CH13" s="48"/>
      <c r="CI13" s="48"/>
      <c r="CJ13" s="48"/>
      <c r="CK13" s="48"/>
      <c r="CL13" s="48"/>
      <c r="CM13" s="48"/>
      <c r="CN13" s="48"/>
      <c r="CO13" s="48"/>
      <c r="CP13" s="48"/>
      <c r="CQ13" s="51"/>
    </row>
    <row r="14" spans="1:95" ht="17.25" thickBot="1" x14ac:dyDescent="0.35">
      <c r="A14" t="s">
        <v>71</v>
      </c>
      <c r="B14" t="s">
        <v>31</v>
      </c>
      <c r="C14">
        <v>3</v>
      </c>
      <c r="D14" s="76">
        <v>43339</v>
      </c>
      <c r="E14" s="82">
        <v>45</v>
      </c>
      <c r="F14" s="76">
        <f t="shared" si="0"/>
        <v>43384</v>
      </c>
      <c r="G14" t="s">
        <v>52</v>
      </c>
      <c r="H14" t="s">
        <v>72</v>
      </c>
      <c r="J14" s="7" t="s">
        <v>20</v>
      </c>
      <c r="K14" s="8">
        <v>4</v>
      </c>
      <c r="L14" s="35"/>
      <c r="M14" s="36"/>
      <c r="N14" s="36"/>
      <c r="O14" s="36"/>
      <c r="P14" s="36"/>
      <c r="Q14" s="36"/>
      <c r="R14" s="36"/>
      <c r="S14" s="36"/>
      <c r="T14" s="36"/>
      <c r="U14" s="36"/>
      <c r="V14" s="36"/>
      <c r="W14" s="37"/>
      <c r="X14" s="35"/>
      <c r="Y14" s="36"/>
      <c r="Z14" s="36"/>
      <c r="AA14" s="36"/>
      <c r="AB14" s="36"/>
      <c r="AC14" s="36"/>
      <c r="AD14" s="36"/>
      <c r="AE14" s="36"/>
      <c r="AF14" s="36"/>
      <c r="AG14" s="69"/>
      <c r="AH14" s="287" t="s">
        <v>15</v>
      </c>
      <c r="AI14" s="288"/>
      <c r="AJ14" s="35"/>
      <c r="AK14" s="36"/>
      <c r="AL14" s="36"/>
      <c r="AM14" s="36"/>
      <c r="AN14" s="36"/>
      <c r="AO14" s="36"/>
      <c r="AP14" s="36"/>
      <c r="AQ14" s="36"/>
      <c r="AR14" s="36"/>
      <c r="AS14" s="36"/>
      <c r="AT14" s="36"/>
      <c r="AU14" s="37"/>
      <c r="AV14" s="35"/>
      <c r="AW14" s="36"/>
      <c r="AX14" s="36"/>
      <c r="AY14" s="36"/>
      <c r="AZ14" s="36"/>
      <c r="BA14" s="36"/>
      <c r="BB14" s="36"/>
      <c r="BC14" s="36"/>
      <c r="BD14" s="36"/>
      <c r="BE14" s="36"/>
      <c r="BF14" s="36"/>
      <c r="BG14" s="37"/>
      <c r="BH14" s="35"/>
      <c r="BI14" s="36"/>
      <c r="BJ14" s="36"/>
      <c r="BK14" s="36"/>
      <c r="BL14" s="36"/>
      <c r="BM14" s="36"/>
      <c r="BN14" s="36"/>
      <c r="BO14" s="36"/>
      <c r="BP14" s="36"/>
      <c r="BQ14" s="36"/>
      <c r="BR14" s="36"/>
      <c r="BS14" s="37"/>
      <c r="BT14" s="35"/>
      <c r="BU14" s="36"/>
      <c r="BV14" s="36"/>
      <c r="BW14" s="36"/>
      <c r="BX14" s="36"/>
      <c r="BY14" s="36"/>
      <c r="BZ14" s="36"/>
      <c r="CA14" s="36"/>
      <c r="CB14" s="36"/>
      <c r="CC14" s="36"/>
      <c r="CD14" s="36"/>
      <c r="CE14" s="37"/>
      <c r="CF14" s="35"/>
      <c r="CG14" s="36"/>
      <c r="CH14" s="36"/>
      <c r="CI14" s="36"/>
      <c r="CJ14" s="36"/>
      <c r="CK14" s="36"/>
      <c r="CL14" s="36"/>
      <c r="CM14" s="36"/>
      <c r="CN14" s="36"/>
      <c r="CO14" s="36"/>
      <c r="CP14" s="36"/>
      <c r="CQ14" s="37"/>
    </row>
    <row r="15" spans="1:95" x14ac:dyDescent="0.3">
      <c r="A15" t="s">
        <v>73</v>
      </c>
      <c r="B15" t="s">
        <v>31</v>
      </c>
      <c r="C15">
        <v>4</v>
      </c>
      <c r="D15" s="76">
        <v>43160</v>
      </c>
      <c r="E15" s="82">
        <v>14</v>
      </c>
      <c r="F15" s="76">
        <f t="shared" si="0"/>
        <v>43174</v>
      </c>
      <c r="G15" t="s">
        <v>67</v>
      </c>
      <c r="H15" t="s">
        <v>63</v>
      </c>
      <c r="J15" s="11" t="s">
        <v>22</v>
      </c>
      <c r="K15" s="12" t="s">
        <v>23</v>
      </c>
      <c r="L15" s="43"/>
      <c r="M15" s="44"/>
      <c r="N15" s="44"/>
      <c r="O15" s="44"/>
      <c r="P15" s="44"/>
      <c r="Q15" s="44"/>
      <c r="R15" s="44"/>
      <c r="S15" s="44"/>
      <c r="T15" s="44"/>
      <c r="U15" s="44"/>
      <c r="V15" s="44"/>
      <c r="W15" s="45"/>
      <c r="X15" s="39"/>
      <c r="Y15" s="40"/>
      <c r="Z15" s="40"/>
      <c r="AA15" s="40"/>
      <c r="AB15" s="40"/>
      <c r="AC15" s="40"/>
      <c r="AD15" s="40"/>
      <c r="AE15" s="40"/>
      <c r="AF15" s="40"/>
      <c r="AG15" s="46"/>
      <c r="AH15" s="40"/>
      <c r="AI15" s="42"/>
      <c r="AJ15" s="39"/>
      <c r="AK15" s="40"/>
      <c r="AL15" s="40"/>
      <c r="AM15" s="40"/>
      <c r="AN15" s="40"/>
      <c r="AO15" s="40"/>
      <c r="AP15" s="40"/>
      <c r="AQ15" s="40"/>
      <c r="AR15" s="40"/>
      <c r="AS15" s="40"/>
      <c r="AT15" s="40"/>
      <c r="AU15" s="42"/>
      <c r="AV15" s="39"/>
      <c r="AW15" s="40"/>
      <c r="AX15" s="40"/>
      <c r="AY15" s="40"/>
      <c r="AZ15" s="40"/>
      <c r="BA15" s="40"/>
      <c r="BB15" s="40"/>
      <c r="BC15" s="40"/>
      <c r="BD15" s="40"/>
      <c r="BE15" s="40"/>
      <c r="BF15" s="40"/>
      <c r="BG15" s="42"/>
      <c r="BH15" s="39"/>
      <c r="BI15" s="40"/>
      <c r="BJ15" s="40"/>
      <c r="BK15" s="40"/>
      <c r="BL15" s="40"/>
      <c r="BM15" s="40"/>
      <c r="BN15" s="40"/>
      <c r="BO15" s="40"/>
      <c r="BP15" s="40"/>
      <c r="BQ15" s="40"/>
      <c r="BR15" s="40"/>
      <c r="BS15" s="42"/>
      <c r="BT15" s="39"/>
      <c r="BU15" s="40"/>
      <c r="BV15" s="40"/>
      <c r="BW15" s="40"/>
      <c r="BX15" s="40"/>
      <c r="BY15" s="40"/>
      <c r="BZ15" s="40"/>
      <c r="CA15" s="40"/>
      <c r="CB15" s="40"/>
      <c r="CC15" s="40"/>
      <c r="CD15" s="40"/>
      <c r="CE15" s="42"/>
      <c r="CF15" s="39"/>
      <c r="CG15" s="40"/>
      <c r="CH15" s="40"/>
      <c r="CI15" s="40"/>
      <c r="CJ15" s="40"/>
      <c r="CK15" s="40"/>
      <c r="CL15" s="40"/>
      <c r="CM15" s="40"/>
      <c r="CN15" s="40"/>
      <c r="CO15" s="40"/>
      <c r="CP15" s="40"/>
      <c r="CQ15" s="42"/>
    </row>
    <row r="16" spans="1:95" x14ac:dyDescent="0.3">
      <c r="A16" t="s">
        <v>74</v>
      </c>
      <c r="B16" t="s">
        <v>31</v>
      </c>
      <c r="C16">
        <v>4</v>
      </c>
      <c r="D16" s="76">
        <v>43282</v>
      </c>
      <c r="E16" s="82">
        <v>2</v>
      </c>
      <c r="F16" s="76">
        <f t="shared" si="0"/>
        <v>43284</v>
      </c>
      <c r="G16" t="s">
        <v>67</v>
      </c>
      <c r="H16" t="s">
        <v>63</v>
      </c>
      <c r="J16" s="5" t="s">
        <v>22</v>
      </c>
      <c r="K16" s="13" t="s">
        <v>24</v>
      </c>
      <c r="L16" s="47"/>
      <c r="M16" s="41"/>
      <c r="N16" s="48"/>
      <c r="O16" s="48"/>
      <c r="P16" s="48"/>
      <c r="Q16" s="41"/>
      <c r="R16" s="41"/>
      <c r="S16" s="41"/>
      <c r="T16" s="41"/>
      <c r="U16" s="41"/>
      <c r="V16" s="41"/>
      <c r="W16" s="41"/>
      <c r="X16" s="47"/>
      <c r="Y16" s="289" t="s">
        <v>15</v>
      </c>
      <c r="Z16" s="290"/>
      <c r="AA16" s="41"/>
      <c r="AB16" s="41"/>
      <c r="AC16" s="41"/>
      <c r="AD16" s="41"/>
      <c r="AE16" s="41"/>
      <c r="AF16" s="41"/>
      <c r="AG16" s="48"/>
      <c r="AH16" s="48"/>
      <c r="AI16" s="49"/>
      <c r="AJ16" s="47"/>
      <c r="AK16" s="41"/>
      <c r="AL16" s="41"/>
      <c r="AM16" s="41"/>
      <c r="AN16" s="41"/>
      <c r="AO16" s="41"/>
      <c r="AP16" s="41"/>
      <c r="AQ16" s="41"/>
      <c r="AR16" s="41"/>
      <c r="AS16" s="41"/>
      <c r="AT16" s="41"/>
      <c r="AU16" s="49"/>
      <c r="AV16" s="47"/>
      <c r="AW16" s="41"/>
      <c r="AX16" s="41"/>
      <c r="AY16" s="41"/>
      <c r="AZ16" s="41"/>
      <c r="BA16" s="41"/>
      <c r="BB16" s="41"/>
      <c r="BC16" s="41"/>
      <c r="BD16" s="41"/>
      <c r="BE16" s="41"/>
      <c r="BF16" s="41"/>
      <c r="BG16" s="49"/>
      <c r="BH16" s="47"/>
      <c r="BI16" s="41"/>
      <c r="BJ16" s="41"/>
      <c r="BK16" s="41"/>
      <c r="BL16" s="41"/>
      <c r="BM16" s="41"/>
      <c r="BN16" s="41"/>
      <c r="BO16" s="41"/>
      <c r="BP16" s="41"/>
      <c r="BQ16" s="41"/>
      <c r="BR16" s="41"/>
      <c r="BS16" s="49"/>
      <c r="BT16" s="47"/>
      <c r="BU16" s="41"/>
      <c r="BV16" s="41"/>
      <c r="BW16" s="41"/>
      <c r="BX16" s="41"/>
      <c r="BY16" s="41"/>
      <c r="BZ16" s="41"/>
      <c r="CA16" s="41"/>
      <c r="CB16" s="41"/>
      <c r="CC16" s="41"/>
      <c r="CD16" s="41"/>
      <c r="CE16" s="49"/>
      <c r="CF16" s="47"/>
      <c r="CG16" s="41"/>
      <c r="CH16" s="41"/>
      <c r="CI16" s="41"/>
      <c r="CJ16" s="41"/>
      <c r="CK16" s="41"/>
      <c r="CL16" s="41"/>
      <c r="CM16" s="41"/>
      <c r="CN16" s="41"/>
      <c r="CO16" s="41"/>
      <c r="CP16" s="41"/>
      <c r="CQ16" s="49"/>
    </row>
    <row r="17" spans="1:95" x14ac:dyDescent="0.3">
      <c r="A17" t="s">
        <v>75</v>
      </c>
      <c r="D17" s="76"/>
      <c r="E17" s="82"/>
      <c r="F17" s="76" t="str">
        <f t="shared" si="0"/>
        <v/>
      </c>
      <c r="J17" s="5" t="s">
        <v>22</v>
      </c>
      <c r="K17" s="13" t="s">
        <v>25</v>
      </c>
      <c r="L17" s="50"/>
      <c r="M17" s="48"/>
      <c r="N17" s="48"/>
      <c r="O17" s="48"/>
      <c r="P17" s="48"/>
      <c r="Q17" s="48"/>
      <c r="R17" s="48"/>
      <c r="S17" s="48"/>
      <c r="T17" s="48"/>
      <c r="U17" s="48"/>
      <c r="V17" s="48"/>
      <c r="W17" s="51"/>
      <c r="X17" s="50"/>
      <c r="Y17" s="48"/>
      <c r="Z17" s="41"/>
      <c r="AA17" s="41"/>
      <c r="AB17" s="48"/>
      <c r="AC17" s="48"/>
      <c r="AD17" s="48"/>
      <c r="AE17" s="48"/>
      <c r="AF17" s="312" t="s">
        <v>26</v>
      </c>
      <c r="AG17" s="313"/>
      <c r="AH17" s="48"/>
      <c r="AI17" s="51"/>
      <c r="AJ17" s="50"/>
      <c r="AK17" s="48"/>
      <c r="AL17" s="48"/>
      <c r="AM17" s="48"/>
      <c r="AN17" s="48"/>
      <c r="AO17" s="48"/>
      <c r="AP17" s="48"/>
      <c r="AQ17" s="48"/>
      <c r="AR17" s="48"/>
      <c r="AS17" s="48"/>
      <c r="AT17" s="48"/>
      <c r="AU17" s="51"/>
      <c r="AV17" s="50"/>
      <c r="AW17" s="48"/>
      <c r="AX17" s="48"/>
      <c r="AY17" s="48"/>
      <c r="AZ17" s="48"/>
      <c r="BA17" s="48"/>
      <c r="BB17" s="48"/>
      <c r="BC17" s="48"/>
      <c r="BD17" s="48"/>
      <c r="BE17" s="48"/>
      <c r="BF17" s="48"/>
      <c r="BG17" s="51"/>
      <c r="BH17" s="50"/>
      <c r="BI17" s="48"/>
      <c r="BJ17" s="48"/>
      <c r="BK17" s="48"/>
      <c r="BL17" s="48"/>
      <c r="BM17" s="48"/>
      <c r="BN17" s="48"/>
      <c r="BO17" s="48"/>
      <c r="BP17" s="48"/>
      <c r="BQ17" s="48"/>
      <c r="BR17" s="48"/>
      <c r="BS17" s="51"/>
      <c r="BT17" s="50"/>
      <c r="BU17" s="48"/>
      <c r="BV17" s="48"/>
      <c r="BW17" s="48"/>
      <c r="BX17" s="48"/>
      <c r="BY17" s="48"/>
      <c r="BZ17" s="48"/>
      <c r="CA17" s="48"/>
      <c r="CB17" s="48"/>
      <c r="CC17" s="48"/>
      <c r="CD17" s="48"/>
      <c r="CE17" s="51"/>
      <c r="CF17" s="50"/>
      <c r="CG17" s="48"/>
      <c r="CH17" s="48"/>
      <c r="CI17" s="48"/>
      <c r="CJ17" s="48"/>
      <c r="CK17" s="48"/>
      <c r="CL17" s="48"/>
      <c r="CM17" s="48"/>
      <c r="CN17" s="48"/>
      <c r="CO17" s="48"/>
      <c r="CP17" s="48"/>
      <c r="CQ17" s="51"/>
    </row>
    <row r="18" spans="1:95" ht="17.25" thickBot="1" x14ac:dyDescent="0.35">
      <c r="A18" t="s">
        <v>76</v>
      </c>
      <c r="D18" s="76"/>
      <c r="E18" s="82"/>
      <c r="F18" s="76" t="str">
        <f t="shared" si="0"/>
        <v/>
      </c>
      <c r="J18" s="7" t="s">
        <v>22</v>
      </c>
      <c r="K18" s="14" t="s">
        <v>27</v>
      </c>
      <c r="L18" s="35"/>
      <c r="M18" s="36"/>
      <c r="N18" s="36"/>
      <c r="O18" s="36"/>
      <c r="P18" s="36"/>
      <c r="Q18" s="36"/>
      <c r="R18" s="36"/>
      <c r="S18" s="36"/>
      <c r="T18" s="36"/>
      <c r="U18" s="36"/>
      <c r="V18" s="36"/>
      <c r="W18" s="37"/>
      <c r="X18" s="35"/>
      <c r="Y18" s="36"/>
      <c r="Z18" s="36"/>
      <c r="AA18" s="36"/>
      <c r="AB18" s="36"/>
      <c r="AC18" s="36"/>
      <c r="AD18" s="36"/>
      <c r="AE18" s="36"/>
      <c r="AF18" s="64"/>
      <c r="AG18" s="64"/>
      <c r="AH18" s="36"/>
      <c r="AI18" s="37"/>
      <c r="AJ18" s="35"/>
      <c r="AK18" s="36"/>
      <c r="AL18" s="36"/>
      <c r="AM18" s="36"/>
      <c r="AN18" s="36"/>
      <c r="AO18" s="36"/>
      <c r="AP18" s="36"/>
      <c r="AQ18" s="36"/>
      <c r="AR18" s="36"/>
      <c r="AS18" s="36"/>
      <c r="AT18" s="36"/>
      <c r="AU18" s="37"/>
      <c r="AV18" s="35"/>
      <c r="AW18" s="36"/>
      <c r="AX18" s="36"/>
      <c r="AY18" s="36"/>
      <c r="AZ18" s="36"/>
      <c r="BA18" s="36"/>
      <c r="BB18" s="36"/>
      <c r="BC18" s="36"/>
      <c r="BD18" s="314" t="s">
        <v>26</v>
      </c>
      <c r="BE18" s="315"/>
      <c r="BF18" s="36"/>
      <c r="BG18" s="37"/>
      <c r="BH18" s="35"/>
      <c r="BI18" s="36"/>
      <c r="BJ18" s="36"/>
      <c r="BK18" s="36"/>
      <c r="BL18" s="36"/>
      <c r="BM18" s="36"/>
      <c r="BN18" s="36"/>
      <c r="BO18" s="36"/>
      <c r="BP18" s="36"/>
      <c r="BQ18" s="36"/>
      <c r="BR18" s="36"/>
      <c r="BS18" s="37"/>
      <c r="BT18" s="35"/>
      <c r="BU18" s="36"/>
      <c r="BV18" s="36"/>
      <c r="BW18" s="36"/>
      <c r="BX18" s="36"/>
      <c r="BY18" s="36"/>
      <c r="BZ18" s="36"/>
      <c r="CA18" s="36"/>
      <c r="CB18" s="36"/>
      <c r="CC18" s="36"/>
      <c r="CD18" s="36"/>
      <c r="CE18" s="37"/>
      <c r="CF18" s="35"/>
      <c r="CG18" s="36"/>
      <c r="CH18" s="36"/>
      <c r="CI18" s="36"/>
      <c r="CJ18" s="36"/>
      <c r="CK18" s="36"/>
      <c r="CL18" s="36"/>
      <c r="CM18" s="36"/>
      <c r="CN18" s="36"/>
      <c r="CO18" s="36"/>
      <c r="CP18" s="36"/>
      <c r="CQ18" s="37"/>
    </row>
    <row r="19" spans="1:95" x14ac:dyDescent="0.3">
      <c r="A19" t="s">
        <v>77</v>
      </c>
      <c r="D19" s="76"/>
      <c r="E19" s="82"/>
      <c r="F19" s="76" t="str">
        <f t="shared" si="0"/>
        <v/>
      </c>
      <c r="J19" s="3" t="s">
        <v>28</v>
      </c>
      <c r="K19" s="4">
        <v>5</v>
      </c>
      <c r="L19" s="28"/>
      <c r="M19" s="29"/>
      <c r="N19" s="29"/>
      <c r="O19" s="29"/>
      <c r="P19" s="29"/>
      <c r="Q19" s="29"/>
      <c r="R19" s="29"/>
      <c r="S19" s="29"/>
      <c r="T19" s="291" t="s">
        <v>15</v>
      </c>
      <c r="U19" s="292"/>
      <c r="V19" s="29"/>
      <c r="W19" s="30"/>
      <c r="X19" s="28"/>
      <c r="Y19" s="29"/>
      <c r="Z19" s="29"/>
      <c r="AA19" s="29"/>
      <c r="AB19" s="29"/>
      <c r="AC19" s="29"/>
      <c r="AD19" s="29"/>
      <c r="AE19" s="29"/>
      <c r="AF19" s="27" t="s">
        <v>16</v>
      </c>
      <c r="AG19" s="29"/>
      <c r="AH19" s="29"/>
      <c r="AI19" s="30"/>
      <c r="AJ19" s="28"/>
      <c r="AK19" s="29"/>
      <c r="AL19" s="29"/>
      <c r="AM19" s="29"/>
      <c r="AN19" s="29"/>
      <c r="AO19" s="29"/>
      <c r="AP19" s="29"/>
      <c r="AQ19" s="29"/>
      <c r="AR19" s="29"/>
      <c r="AS19" s="29"/>
      <c r="AT19" s="29"/>
      <c r="AU19" s="30"/>
      <c r="AV19" s="28"/>
      <c r="AW19" s="29"/>
      <c r="AX19" s="29"/>
      <c r="AY19" s="29"/>
      <c r="AZ19" s="29"/>
      <c r="BA19" s="29"/>
      <c r="BB19" s="29"/>
      <c r="BC19" s="29"/>
      <c r="BD19" s="29"/>
      <c r="BE19" s="29"/>
      <c r="BF19" s="29"/>
      <c r="BG19" s="30"/>
      <c r="BH19" s="28"/>
      <c r="BI19" s="29"/>
      <c r="BJ19" s="29"/>
      <c r="BK19" s="29"/>
      <c r="BL19" s="29"/>
      <c r="BM19" s="29"/>
      <c r="BN19" s="29"/>
      <c r="BO19" s="29"/>
      <c r="BP19" s="29"/>
      <c r="BQ19" s="29"/>
      <c r="BR19" s="29"/>
      <c r="BS19" s="30"/>
      <c r="BT19" s="28"/>
      <c r="BU19" s="29"/>
      <c r="BV19" s="29"/>
      <c r="BW19" s="29"/>
      <c r="BX19" s="29"/>
      <c r="BY19" s="29"/>
      <c r="BZ19" s="29"/>
      <c r="CA19" s="29"/>
      <c r="CB19" s="29"/>
      <c r="CC19" s="29"/>
      <c r="CD19" s="29"/>
      <c r="CE19" s="30"/>
      <c r="CF19" s="28"/>
      <c r="CG19" s="29"/>
      <c r="CH19" s="29"/>
      <c r="CI19" s="29"/>
      <c r="CJ19" s="29"/>
      <c r="CK19" s="29"/>
      <c r="CL19" s="29"/>
      <c r="CM19" s="29"/>
      <c r="CN19" s="29"/>
      <c r="CO19" s="29"/>
      <c r="CP19" s="29"/>
      <c r="CQ19" s="30"/>
    </row>
    <row r="20" spans="1:95" ht="17.25" thickBot="1" x14ac:dyDescent="0.35">
      <c r="A20" t="s">
        <v>78</v>
      </c>
      <c r="D20" s="76"/>
      <c r="E20" s="82"/>
      <c r="F20" s="76" t="str">
        <f t="shared" si="0"/>
        <v/>
      </c>
      <c r="J20" s="7" t="s">
        <v>28</v>
      </c>
      <c r="K20" s="8">
        <v>6</v>
      </c>
      <c r="L20" s="35"/>
      <c r="M20" s="36"/>
      <c r="N20" s="63" t="s">
        <v>16</v>
      </c>
      <c r="O20" s="36"/>
      <c r="P20" s="36"/>
      <c r="Q20" s="36"/>
      <c r="R20" s="36"/>
      <c r="S20" s="36"/>
      <c r="T20" s="36"/>
      <c r="U20" s="36"/>
      <c r="V20" s="36"/>
      <c r="W20" s="37"/>
      <c r="X20" s="35"/>
      <c r="Y20" s="36"/>
      <c r="Z20" s="36"/>
      <c r="AA20" s="63" t="s">
        <v>16</v>
      </c>
      <c r="AB20" s="36"/>
      <c r="AC20" s="36"/>
      <c r="AD20" s="36"/>
      <c r="AE20" s="36"/>
      <c r="AF20" s="36"/>
      <c r="AG20" s="36"/>
      <c r="AH20" s="36"/>
      <c r="AI20" s="37"/>
      <c r="AJ20" s="35"/>
      <c r="AK20" s="36"/>
      <c r="AL20" s="295" t="s">
        <v>26</v>
      </c>
      <c r="AM20" s="296"/>
      <c r="AN20" s="316"/>
      <c r="AO20" s="36"/>
      <c r="AP20" s="36"/>
      <c r="AQ20" s="36"/>
      <c r="AR20" s="36"/>
      <c r="AS20" s="36"/>
      <c r="AT20" s="36"/>
      <c r="AU20" s="37"/>
      <c r="AV20" s="35"/>
      <c r="AW20" s="36"/>
      <c r="AX20" s="36"/>
      <c r="AY20" s="36"/>
      <c r="AZ20" s="36"/>
      <c r="BA20" s="36"/>
      <c r="BB20" s="36"/>
      <c r="BC20" s="36"/>
      <c r="BD20" s="36"/>
      <c r="BE20" s="36"/>
      <c r="BF20" s="36"/>
      <c r="BG20" s="37"/>
      <c r="BH20" s="35"/>
      <c r="BI20" s="36"/>
      <c r="BJ20" s="36"/>
      <c r="BK20" s="36"/>
      <c r="BL20" s="36"/>
      <c r="BM20" s="36"/>
      <c r="BN20" s="36"/>
      <c r="BO20" s="36"/>
      <c r="BP20" s="36"/>
      <c r="BQ20" s="36"/>
      <c r="BR20" s="36"/>
      <c r="BS20" s="37"/>
      <c r="BT20" s="35"/>
      <c r="BU20" s="36"/>
      <c r="BV20" s="36"/>
      <c r="BW20" s="36"/>
      <c r="BX20" s="36"/>
      <c r="BY20" s="36"/>
      <c r="BZ20" s="36"/>
      <c r="CA20" s="36"/>
      <c r="CB20" s="36"/>
      <c r="CC20" s="36"/>
      <c r="CD20" s="36"/>
      <c r="CE20" s="37"/>
      <c r="CF20" s="35"/>
      <c r="CG20" s="36"/>
      <c r="CH20" s="36"/>
      <c r="CI20" s="36"/>
      <c r="CJ20" s="36"/>
      <c r="CK20" s="36"/>
      <c r="CL20" s="36"/>
      <c r="CM20" s="36"/>
      <c r="CN20" s="36"/>
      <c r="CO20" s="36"/>
      <c r="CP20" s="36"/>
      <c r="CQ20" s="37"/>
    </row>
    <row r="21" spans="1:95" x14ac:dyDescent="0.3">
      <c r="A21" t="s">
        <v>79</v>
      </c>
      <c r="D21" s="76"/>
      <c r="E21" s="82"/>
      <c r="F21" s="76" t="str">
        <f t="shared" si="0"/>
        <v/>
      </c>
      <c r="J21" s="3" t="s">
        <v>29</v>
      </c>
      <c r="K21" s="4">
        <v>1</v>
      </c>
      <c r="L21" s="28"/>
      <c r="M21" s="29"/>
      <c r="N21" s="29"/>
      <c r="O21" s="29"/>
      <c r="P21" s="29"/>
      <c r="Q21" s="29"/>
      <c r="R21" s="29"/>
      <c r="S21" s="29"/>
      <c r="T21" s="29"/>
      <c r="U21" s="29"/>
      <c r="V21" s="29"/>
      <c r="W21" s="30"/>
      <c r="X21" s="28"/>
      <c r="Y21" s="29"/>
      <c r="Z21" s="29"/>
      <c r="AA21" s="29"/>
      <c r="AB21" s="29"/>
      <c r="AC21" s="29"/>
      <c r="AD21" s="29"/>
      <c r="AE21" s="29"/>
      <c r="AF21" s="29"/>
      <c r="AG21" s="29"/>
      <c r="AH21" s="29"/>
      <c r="AI21" s="30"/>
      <c r="AJ21" s="28"/>
      <c r="AK21" s="29"/>
      <c r="AL21" s="29"/>
      <c r="AM21" s="29"/>
      <c r="AN21" s="29"/>
      <c r="AO21" s="29"/>
      <c r="AP21" s="29"/>
      <c r="AQ21" s="29"/>
      <c r="AR21" s="317" t="s">
        <v>26</v>
      </c>
      <c r="AS21" s="318"/>
      <c r="AT21" s="319"/>
      <c r="AU21" s="30"/>
      <c r="AV21" s="28"/>
      <c r="AW21" s="29"/>
      <c r="AX21" s="29"/>
      <c r="AY21" s="29"/>
      <c r="AZ21" s="29"/>
      <c r="BA21" s="29"/>
      <c r="BB21" s="29"/>
      <c r="BC21" s="29"/>
      <c r="BD21" s="29"/>
      <c r="BE21" s="29"/>
      <c r="BF21" s="29"/>
      <c r="BG21" s="30"/>
      <c r="BH21" s="28"/>
      <c r="BI21" s="29"/>
      <c r="BJ21" s="29"/>
      <c r="BK21" s="29"/>
      <c r="BL21" s="29"/>
      <c r="BM21" s="29"/>
      <c r="BN21" s="29"/>
      <c r="BO21" s="29"/>
      <c r="BP21" s="29"/>
      <c r="BQ21" s="29"/>
      <c r="BR21" s="29"/>
      <c r="BS21" s="30"/>
      <c r="BT21" s="28"/>
      <c r="BU21" s="29"/>
      <c r="BV21" s="29"/>
      <c r="BW21" s="29"/>
      <c r="BX21" s="29"/>
      <c r="BY21" s="29"/>
      <c r="BZ21" s="29"/>
      <c r="CA21" s="29"/>
      <c r="CB21" s="29"/>
      <c r="CC21" s="29"/>
      <c r="CD21" s="29"/>
      <c r="CE21" s="30"/>
      <c r="CF21" s="28"/>
      <c r="CG21" s="29"/>
      <c r="CH21" s="29"/>
      <c r="CI21" s="29"/>
      <c r="CJ21" s="29"/>
      <c r="CK21" s="29"/>
      <c r="CL21" s="29"/>
      <c r="CM21" s="29"/>
      <c r="CN21" s="29"/>
      <c r="CO21" s="29"/>
      <c r="CP21" s="29"/>
      <c r="CQ21" s="30"/>
    </row>
    <row r="22" spans="1:95" ht="17.25" thickBot="1" x14ac:dyDescent="0.35">
      <c r="A22" t="s">
        <v>80</v>
      </c>
      <c r="D22" s="76"/>
      <c r="E22" s="82"/>
      <c r="F22" s="76" t="str">
        <f t="shared" si="0"/>
        <v/>
      </c>
      <c r="J22" s="7" t="s">
        <v>29</v>
      </c>
      <c r="K22" s="8">
        <v>2</v>
      </c>
      <c r="L22" s="35"/>
      <c r="M22" s="36"/>
      <c r="N22" s="36"/>
      <c r="O22" s="36"/>
      <c r="P22" s="36"/>
      <c r="Q22" s="36"/>
      <c r="R22" s="36"/>
      <c r="S22" s="36"/>
      <c r="T22" s="36"/>
      <c r="U22" s="36"/>
      <c r="V22" s="36"/>
      <c r="W22" s="37"/>
      <c r="X22" s="35"/>
      <c r="Y22" s="36"/>
      <c r="Z22" s="36"/>
      <c r="AA22" s="36"/>
      <c r="AB22" s="36"/>
      <c r="AC22" s="36"/>
      <c r="AD22" s="36"/>
      <c r="AE22" s="36"/>
      <c r="AF22" s="36"/>
      <c r="AG22" s="36"/>
      <c r="AH22" s="36"/>
      <c r="AI22" s="37"/>
      <c r="AJ22" s="35"/>
      <c r="AK22" s="36"/>
      <c r="AL22" s="36"/>
      <c r="AM22" s="36"/>
      <c r="AN22" s="36"/>
      <c r="AO22" s="36"/>
      <c r="AP22" s="36"/>
      <c r="AQ22" s="36"/>
      <c r="AR22" s="36"/>
      <c r="AS22" s="36"/>
      <c r="AT22" s="36"/>
      <c r="AU22" s="37"/>
      <c r="AV22" s="35"/>
      <c r="AW22" s="36"/>
      <c r="AX22" s="36"/>
      <c r="AY22" s="36"/>
      <c r="AZ22" s="36"/>
      <c r="BA22" s="36"/>
      <c r="BB22" s="36"/>
      <c r="BC22" s="36"/>
      <c r="BD22" s="314" t="s">
        <v>26</v>
      </c>
      <c r="BE22" s="320"/>
      <c r="BF22" s="315"/>
      <c r="BG22" s="37"/>
      <c r="BH22" s="35"/>
      <c r="BI22" s="36"/>
      <c r="BJ22" s="36"/>
      <c r="BK22" s="36"/>
      <c r="BL22" s="36"/>
      <c r="BM22" s="36"/>
      <c r="BN22" s="36"/>
      <c r="BO22" s="36"/>
      <c r="BP22" s="36"/>
      <c r="BQ22" s="36"/>
      <c r="BR22" s="36"/>
      <c r="BS22" s="37"/>
      <c r="BT22" s="35"/>
      <c r="BU22" s="36"/>
      <c r="BV22" s="36"/>
      <c r="BW22" s="36"/>
      <c r="BX22" s="36"/>
      <c r="BY22" s="36"/>
      <c r="BZ22" s="36"/>
      <c r="CA22" s="36"/>
      <c r="CB22" s="36"/>
      <c r="CC22" s="36"/>
      <c r="CD22" s="36"/>
      <c r="CE22" s="37"/>
      <c r="CF22" s="35"/>
      <c r="CG22" s="36"/>
      <c r="CH22" s="36"/>
      <c r="CI22" s="36"/>
      <c r="CJ22" s="36"/>
      <c r="CK22" s="36"/>
      <c r="CL22" s="36"/>
      <c r="CM22" s="36"/>
      <c r="CN22" s="36"/>
      <c r="CO22" s="36"/>
      <c r="CP22" s="36"/>
      <c r="CQ22" s="37"/>
    </row>
    <row r="23" spans="1:95" ht="17.25" thickBot="1" x14ac:dyDescent="0.35">
      <c r="A23" t="s">
        <v>81</v>
      </c>
      <c r="D23" s="76"/>
      <c r="E23" s="82"/>
      <c r="F23" s="76" t="str">
        <f t="shared" si="0"/>
        <v/>
      </c>
      <c r="J23" s="15" t="s">
        <v>30</v>
      </c>
      <c r="K23" s="16">
        <v>1</v>
      </c>
      <c r="L23" s="52"/>
      <c r="M23" s="53"/>
      <c r="N23" s="53"/>
      <c r="O23" s="53"/>
      <c r="P23" s="53"/>
      <c r="Q23" s="53"/>
      <c r="R23" s="53"/>
      <c r="S23" s="53"/>
      <c r="T23" s="53"/>
      <c r="U23" s="53"/>
      <c r="V23" s="53"/>
      <c r="W23" s="54"/>
      <c r="X23" s="52"/>
      <c r="Y23" s="53"/>
      <c r="Z23" s="53"/>
      <c r="AA23" s="53"/>
      <c r="AB23" s="53"/>
      <c r="AC23" s="53"/>
      <c r="AD23" s="53"/>
      <c r="AE23" s="53"/>
      <c r="AF23" s="53"/>
      <c r="AG23" s="53"/>
      <c r="AH23" s="53"/>
      <c r="AI23" s="54"/>
      <c r="AJ23" s="52"/>
      <c r="AK23" s="53"/>
      <c r="AL23" s="53"/>
      <c r="AM23" s="53"/>
      <c r="AN23" s="53"/>
      <c r="AO23" s="53"/>
      <c r="AP23" s="53"/>
      <c r="AQ23" s="53"/>
      <c r="AR23" s="53"/>
      <c r="AS23" s="53"/>
      <c r="AT23" s="53"/>
      <c r="AU23" s="54"/>
      <c r="AV23" s="52"/>
      <c r="AW23" s="53"/>
      <c r="AX23" s="53"/>
      <c r="AY23" s="53"/>
      <c r="AZ23" s="53"/>
      <c r="BA23" s="53"/>
      <c r="BB23" s="53"/>
      <c r="BC23" s="53"/>
      <c r="BD23" s="53"/>
      <c r="BE23" s="53"/>
      <c r="BF23" s="53"/>
      <c r="BG23" s="54"/>
      <c r="BH23" s="52"/>
      <c r="BI23" s="53"/>
      <c r="BJ23" s="53"/>
      <c r="BK23" s="53"/>
      <c r="BL23" s="53"/>
      <c r="BM23" s="53"/>
      <c r="BN23" s="53"/>
      <c r="BO23" s="53"/>
      <c r="BP23" s="53"/>
      <c r="BQ23" s="53"/>
      <c r="BR23" s="53"/>
      <c r="BS23" s="54"/>
      <c r="BT23" s="52"/>
      <c r="BU23" s="53"/>
      <c r="BV23" s="53"/>
      <c r="BW23" s="53"/>
      <c r="BX23" s="53"/>
      <c r="BY23" s="53"/>
      <c r="BZ23" s="53"/>
      <c r="CA23" s="53"/>
      <c r="CB23" s="53"/>
      <c r="CC23" s="53"/>
      <c r="CD23" s="53"/>
      <c r="CE23" s="54"/>
      <c r="CF23" s="52"/>
      <c r="CG23" s="53"/>
      <c r="CH23" s="53"/>
      <c r="CI23" s="53"/>
      <c r="CJ23" s="53"/>
      <c r="CK23" s="53"/>
      <c r="CL23" s="53"/>
      <c r="CM23" s="53"/>
      <c r="CN23" s="53"/>
      <c r="CO23" s="53"/>
      <c r="CP23" s="53"/>
      <c r="CQ23" s="54"/>
    </row>
    <row r="24" spans="1:95" x14ac:dyDescent="0.3">
      <c r="A24" t="s">
        <v>82</v>
      </c>
      <c r="D24" s="76"/>
      <c r="E24" s="82"/>
      <c r="F24" s="76" t="str">
        <f t="shared" si="0"/>
        <v/>
      </c>
      <c r="J24" s="3" t="s">
        <v>31</v>
      </c>
      <c r="K24" s="4">
        <v>1</v>
      </c>
      <c r="L24" s="28"/>
      <c r="M24" s="29"/>
      <c r="N24" s="29"/>
      <c r="O24" s="29"/>
      <c r="P24" s="27" t="s">
        <v>16</v>
      </c>
      <c r="Q24" s="29"/>
      <c r="R24" s="29"/>
      <c r="S24" s="29"/>
      <c r="T24" s="29"/>
      <c r="U24" s="29"/>
      <c r="V24" s="26" t="s">
        <v>16</v>
      </c>
      <c r="W24" s="30"/>
      <c r="X24" s="28"/>
      <c r="Y24" s="29"/>
      <c r="Z24" s="29"/>
      <c r="AA24" s="29"/>
      <c r="AB24" s="26" t="s">
        <v>16</v>
      </c>
      <c r="AC24" s="29"/>
      <c r="AD24" s="29"/>
      <c r="AE24" s="29"/>
      <c r="AF24" s="29"/>
      <c r="AG24" s="29"/>
      <c r="AH24" s="26" t="s">
        <v>16</v>
      </c>
      <c r="AI24" s="30"/>
      <c r="AJ24" s="28"/>
      <c r="AK24" s="29"/>
      <c r="AM24" s="291" t="s">
        <v>15</v>
      </c>
      <c r="AN24" s="321"/>
      <c r="AO24" s="292"/>
      <c r="AP24" s="29"/>
      <c r="AQ24" s="29"/>
      <c r="AR24" s="29"/>
      <c r="AS24" s="29"/>
      <c r="AT24" s="29"/>
      <c r="AU24" s="26" t="s">
        <v>16</v>
      </c>
      <c r="AV24" s="28"/>
      <c r="AW24" s="29"/>
      <c r="AX24" s="29"/>
      <c r="AY24" s="29"/>
      <c r="AZ24" s="29"/>
      <c r="BA24" s="29"/>
      <c r="BB24" s="29"/>
      <c r="BC24" s="29"/>
      <c r="BD24" s="29"/>
      <c r="BE24" s="29"/>
      <c r="BF24" s="29"/>
      <c r="BG24" s="30"/>
      <c r="BH24" s="28"/>
      <c r="BI24" s="29"/>
      <c r="BJ24" s="29"/>
      <c r="BK24" s="29"/>
      <c r="BL24" s="29"/>
      <c r="BM24" s="29"/>
      <c r="BN24" s="29"/>
      <c r="BO24" s="29"/>
      <c r="BP24" s="29"/>
      <c r="BQ24" s="29"/>
      <c r="BR24" s="29"/>
      <c r="BS24" s="30"/>
      <c r="BT24" s="28"/>
      <c r="BU24" s="29"/>
      <c r="BV24" s="29"/>
      <c r="BW24" s="29"/>
      <c r="BX24" s="29"/>
      <c r="BY24" s="29"/>
      <c r="BZ24" s="29"/>
      <c r="CA24" s="29"/>
      <c r="CB24" s="29"/>
      <c r="CC24" s="29"/>
      <c r="CD24" s="29"/>
      <c r="CE24" s="30"/>
      <c r="CF24" s="28"/>
      <c r="CG24" s="29"/>
      <c r="CH24" s="29"/>
      <c r="CI24" s="29"/>
      <c r="CJ24" s="29"/>
      <c r="CK24" s="29"/>
      <c r="CL24" s="29"/>
      <c r="CM24" s="29"/>
      <c r="CN24" s="29"/>
      <c r="CO24" s="29"/>
      <c r="CP24" s="29"/>
      <c r="CQ24" s="30"/>
    </row>
    <row r="25" spans="1:95" x14ac:dyDescent="0.3">
      <c r="A25" t="s">
        <v>83</v>
      </c>
      <c r="D25" s="76"/>
      <c r="E25" s="82"/>
      <c r="F25" s="76" t="str">
        <f t="shared" si="0"/>
        <v/>
      </c>
      <c r="J25" s="5" t="s">
        <v>31</v>
      </c>
      <c r="K25" s="6">
        <v>2</v>
      </c>
      <c r="L25" s="31"/>
      <c r="M25" s="32"/>
      <c r="N25" s="32"/>
      <c r="O25" s="26" t="s">
        <v>16</v>
      </c>
      <c r="P25" s="32"/>
      <c r="Q25" s="32"/>
      <c r="R25" s="32"/>
      <c r="S25" s="32"/>
      <c r="T25" s="32"/>
      <c r="U25" s="32"/>
      <c r="V25" s="32"/>
      <c r="W25" s="26" t="s">
        <v>16</v>
      </c>
      <c r="X25" s="31"/>
      <c r="Z25" s="32"/>
      <c r="AA25" s="26" t="s">
        <v>16</v>
      </c>
      <c r="AB25" s="32"/>
      <c r="AC25" s="32"/>
      <c r="AE25" s="32"/>
      <c r="AF25" s="32"/>
      <c r="AG25" s="26" t="s">
        <v>16</v>
      </c>
      <c r="AH25" s="32"/>
      <c r="AI25" s="33"/>
      <c r="AJ25" s="31"/>
      <c r="AK25" s="32"/>
      <c r="AL25" s="32"/>
      <c r="AM25" s="26" t="s">
        <v>16</v>
      </c>
      <c r="AN25" s="32"/>
      <c r="AO25" s="32"/>
      <c r="AP25" s="32"/>
      <c r="AQ25" s="32"/>
      <c r="AR25" s="26" t="s">
        <v>16</v>
      </c>
      <c r="AS25" s="32"/>
      <c r="AT25" s="32"/>
      <c r="AU25" s="33"/>
      <c r="AV25" s="31"/>
      <c r="AW25" s="32"/>
      <c r="AX25" s="32"/>
      <c r="AY25" s="32"/>
      <c r="AZ25" s="32"/>
      <c r="BA25" s="32"/>
      <c r="BB25" s="32"/>
      <c r="BC25" s="32"/>
      <c r="BD25" s="32"/>
      <c r="BE25" s="32"/>
      <c r="BF25" s="32"/>
      <c r="BG25" s="33"/>
      <c r="BH25" s="31"/>
      <c r="BI25" s="32"/>
      <c r="BJ25" s="32"/>
      <c r="BK25" s="32"/>
      <c r="BL25" s="32"/>
      <c r="BM25" s="32"/>
      <c r="BN25" s="32"/>
      <c r="BO25" s="32"/>
      <c r="BP25" s="32"/>
      <c r="BQ25" s="32"/>
      <c r="BR25" s="32"/>
      <c r="BS25" s="33"/>
      <c r="BT25" s="31"/>
      <c r="BU25" s="32"/>
      <c r="BV25" s="32"/>
      <c r="BW25" s="32"/>
      <c r="BX25" s="32"/>
      <c r="BY25" s="32"/>
      <c r="BZ25" s="32"/>
      <c r="CA25" s="32"/>
      <c r="CB25" s="32"/>
      <c r="CC25" s="32"/>
      <c r="CD25" s="32"/>
      <c r="CE25" s="33"/>
      <c r="CF25" s="31"/>
      <c r="CG25" s="32"/>
      <c r="CH25" s="32"/>
      <c r="CI25" s="32"/>
      <c r="CJ25" s="32"/>
      <c r="CK25" s="32"/>
      <c r="CL25" s="32"/>
      <c r="CM25" s="32"/>
      <c r="CN25" s="32"/>
      <c r="CO25" s="32"/>
      <c r="CP25" s="32"/>
      <c r="CQ25" s="33"/>
    </row>
    <row r="26" spans="1:95" x14ac:dyDescent="0.3">
      <c r="A26" t="s">
        <v>84</v>
      </c>
      <c r="D26" s="76"/>
      <c r="E26" s="82"/>
      <c r="F26" s="76" t="str">
        <f t="shared" si="0"/>
        <v/>
      </c>
      <c r="J26" s="5" t="s">
        <v>31</v>
      </c>
      <c r="K26" s="6">
        <v>3</v>
      </c>
      <c r="L26" s="31"/>
      <c r="M26" s="32"/>
      <c r="N26" s="32"/>
      <c r="O26" s="32"/>
      <c r="P26" s="32"/>
      <c r="Q26" s="32"/>
      <c r="R26" s="32"/>
      <c r="S26" s="322" t="s">
        <v>15</v>
      </c>
      <c r="T26" s="310"/>
      <c r="U26" s="310"/>
      <c r="V26" s="311"/>
      <c r="W26" s="33"/>
      <c r="X26" s="31"/>
      <c r="Y26" s="32"/>
      <c r="Z26" s="32"/>
      <c r="AA26" s="26" t="s">
        <v>16</v>
      </c>
      <c r="AB26" s="32"/>
      <c r="AC26" s="32"/>
      <c r="AD26" s="32"/>
      <c r="AE26" s="32"/>
      <c r="AF26" s="26" t="s">
        <v>16</v>
      </c>
      <c r="AG26" s="32"/>
      <c r="AH26" s="32"/>
      <c r="AI26" s="33"/>
      <c r="AJ26" s="31"/>
      <c r="AK26" s="26" t="s">
        <v>16</v>
      </c>
      <c r="AL26" s="32"/>
      <c r="AM26" s="32"/>
      <c r="AN26" s="32"/>
      <c r="AO26" s="32"/>
      <c r="AP26" s="26" t="s">
        <v>16</v>
      </c>
      <c r="AQ26" s="32"/>
      <c r="AR26" s="32"/>
      <c r="AS26" s="32"/>
      <c r="AT26" s="32"/>
      <c r="AU26" s="33"/>
      <c r="AV26" s="31"/>
      <c r="AW26" s="32"/>
      <c r="AX26" s="32"/>
      <c r="AY26" s="32"/>
      <c r="AZ26" s="32"/>
      <c r="BA26" s="32"/>
      <c r="BB26" s="32"/>
      <c r="BC26" s="32"/>
      <c r="BD26" s="32"/>
      <c r="BE26" s="32"/>
      <c r="BF26" s="32"/>
      <c r="BG26" s="33"/>
      <c r="BH26" s="31"/>
      <c r="BI26" s="32"/>
      <c r="BJ26" s="32"/>
      <c r="BK26" s="32"/>
      <c r="BL26" s="32"/>
      <c r="BM26" s="32"/>
      <c r="BN26" s="32"/>
      <c r="BO26" s="32"/>
      <c r="BP26" s="32"/>
      <c r="BQ26" s="32"/>
      <c r="BR26" s="32"/>
      <c r="BS26" s="33"/>
      <c r="BT26" s="31"/>
      <c r="BU26" s="32"/>
      <c r="BV26" s="32"/>
      <c r="BW26" s="32"/>
      <c r="BX26" s="32"/>
      <c r="BY26" s="32"/>
      <c r="BZ26" s="32"/>
      <c r="CA26" s="32"/>
      <c r="CB26" s="32"/>
      <c r="CC26" s="32"/>
      <c r="CD26" s="32"/>
      <c r="CE26" s="33"/>
      <c r="CF26" s="31"/>
      <c r="CG26" s="32"/>
      <c r="CH26" s="32"/>
      <c r="CI26" s="32"/>
      <c r="CJ26" s="32"/>
      <c r="CK26" s="32"/>
      <c r="CL26" s="32"/>
      <c r="CM26" s="32"/>
      <c r="CN26" s="32"/>
      <c r="CO26" s="32"/>
      <c r="CP26" s="32"/>
      <c r="CQ26" s="33"/>
    </row>
    <row r="27" spans="1:95" ht="17.25" thickBot="1" x14ac:dyDescent="0.35">
      <c r="A27" t="s">
        <v>85</v>
      </c>
      <c r="D27" s="76"/>
      <c r="E27" s="82"/>
      <c r="F27" s="76" t="str">
        <f t="shared" si="0"/>
        <v/>
      </c>
      <c r="J27" s="7" t="s">
        <v>31</v>
      </c>
      <c r="K27" s="8">
        <v>4</v>
      </c>
      <c r="L27" s="35"/>
      <c r="M27" s="36"/>
      <c r="N27" s="63" t="s">
        <v>16</v>
      </c>
      <c r="O27" s="36"/>
      <c r="P27" s="36"/>
      <c r="Q27" s="36"/>
      <c r="R27" s="63" t="s">
        <v>16</v>
      </c>
      <c r="S27" s="36"/>
      <c r="T27" s="36"/>
      <c r="U27" s="36"/>
      <c r="V27" s="36"/>
      <c r="W27" s="37"/>
      <c r="X27" s="63" t="s">
        <v>16</v>
      </c>
      <c r="Y27" s="36"/>
      <c r="Z27" s="64"/>
      <c r="AA27" s="64"/>
      <c r="AB27" s="64"/>
      <c r="AD27" s="65" t="s">
        <v>16</v>
      </c>
      <c r="AE27" s="64"/>
      <c r="AF27" s="64"/>
      <c r="AG27" s="64"/>
      <c r="AI27" s="65" t="s">
        <v>16</v>
      </c>
      <c r="AJ27" s="66"/>
      <c r="AK27" s="64"/>
      <c r="AL27" s="65" t="s">
        <v>16</v>
      </c>
      <c r="AM27" s="64"/>
      <c r="AN27" s="64"/>
      <c r="AO27" s="64"/>
      <c r="AP27" s="64"/>
      <c r="AQ27" s="63" t="s">
        <v>16</v>
      </c>
      <c r="AR27" s="36"/>
      <c r="AS27" s="36"/>
      <c r="AT27" s="36"/>
      <c r="AU27" s="37"/>
      <c r="AV27" s="35"/>
      <c r="AW27" s="36"/>
      <c r="AX27" s="36"/>
      <c r="AY27" s="36"/>
      <c r="AZ27" s="36"/>
      <c r="BA27" s="36"/>
      <c r="BB27" s="36"/>
      <c r="BC27" s="36"/>
      <c r="BD27" s="36"/>
      <c r="BE27" s="36"/>
      <c r="BF27" s="36"/>
      <c r="BG27" s="37"/>
      <c r="BH27" s="35"/>
      <c r="BI27" s="36"/>
      <c r="BJ27" s="36"/>
      <c r="BK27" s="36"/>
      <c r="BL27" s="36"/>
      <c r="BM27" s="36"/>
      <c r="BN27" s="36"/>
      <c r="BO27" s="36"/>
      <c r="BP27" s="36"/>
      <c r="BQ27" s="36"/>
      <c r="BR27" s="36"/>
      <c r="BS27" s="37"/>
      <c r="BT27" s="35"/>
      <c r="BU27" s="36"/>
      <c r="BV27" s="36"/>
      <c r="BW27" s="36"/>
      <c r="BX27" s="36"/>
      <c r="BY27" s="36"/>
      <c r="BZ27" s="36"/>
      <c r="CA27" s="36"/>
      <c r="CB27" s="36"/>
      <c r="CC27" s="36"/>
      <c r="CD27" s="36"/>
      <c r="CE27" s="37"/>
      <c r="CF27" s="35"/>
      <c r="CG27" s="36"/>
      <c r="CH27" s="36"/>
      <c r="CI27" s="36"/>
      <c r="CJ27" s="36"/>
      <c r="CK27" s="36"/>
      <c r="CL27" s="36"/>
      <c r="CM27" s="36"/>
      <c r="CN27" s="36"/>
      <c r="CO27" s="36"/>
      <c r="CP27" s="36"/>
      <c r="CQ27" s="37"/>
    </row>
    <row r="28" spans="1:95" x14ac:dyDescent="0.3">
      <c r="A28" t="s">
        <v>86</v>
      </c>
      <c r="D28" s="76"/>
      <c r="E28" s="82"/>
      <c r="F28" s="76" t="str">
        <f t="shared" si="0"/>
        <v/>
      </c>
      <c r="J28" s="3" t="s">
        <v>32</v>
      </c>
      <c r="K28" s="4">
        <v>1</v>
      </c>
      <c r="L28" s="28"/>
      <c r="M28" s="29"/>
      <c r="N28" s="305" t="s">
        <v>16</v>
      </c>
      <c r="O28" s="305"/>
      <c r="P28" s="34"/>
      <c r="Q28" s="29"/>
      <c r="R28" s="29"/>
      <c r="S28" s="29"/>
      <c r="T28" s="34"/>
      <c r="U28" s="34"/>
      <c r="V28" s="29"/>
      <c r="W28" s="30"/>
      <c r="X28" s="28"/>
      <c r="Y28" s="29"/>
      <c r="Z28" s="29"/>
      <c r="AA28" s="29"/>
      <c r="AB28" s="29"/>
      <c r="AC28" s="29"/>
      <c r="AD28" s="29"/>
      <c r="AE28" s="29"/>
      <c r="AF28" s="29"/>
      <c r="AG28" s="29"/>
      <c r="AH28" s="29"/>
      <c r="AI28" s="30"/>
      <c r="AJ28" s="28"/>
      <c r="AK28" s="29"/>
      <c r="AL28" s="29"/>
      <c r="AM28" s="29"/>
      <c r="AN28" s="29"/>
      <c r="AO28" s="29"/>
      <c r="AP28" s="29"/>
      <c r="AQ28" s="29"/>
      <c r="AR28" s="29"/>
      <c r="AS28" s="29"/>
      <c r="AT28" s="29"/>
      <c r="AU28" s="30"/>
      <c r="AV28" s="28"/>
      <c r="AW28" s="29"/>
      <c r="AX28" s="29"/>
      <c r="AY28" s="29"/>
      <c r="AZ28" s="29"/>
      <c r="BA28" s="29"/>
      <c r="BB28" s="29"/>
      <c r="BC28" s="29"/>
      <c r="BD28" s="297" t="s">
        <v>15</v>
      </c>
      <c r="BE28" s="297"/>
      <c r="BF28" s="297"/>
      <c r="BG28" s="30"/>
      <c r="BH28" s="28"/>
      <c r="BI28" s="29"/>
      <c r="BJ28" s="29"/>
      <c r="BK28" s="29"/>
      <c r="BL28" s="29"/>
      <c r="BM28" s="29"/>
      <c r="BN28" s="29"/>
      <c r="BO28" s="29"/>
      <c r="BP28" s="29"/>
      <c r="BQ28" s="29"/>
      <c r="BR28" s="29"/>
      <c r="BS28" s="30"/>
      <c r="BT28" s="28"/>
      <c r="BU28" s="29"/>
      <c r="BV28" s="29"/>
      <c r="BW28" s="29"/>
      <c r="BX28" s="29"/>
      <c r="BY28" s="29"/>
      <c r="BZ28" s="29"/>
      <c r="CA28" s="29"/>
      <c r="CB28" s="29"/>
      <c r="CC28" s="29"/>
      <c r="CD28" s="29"/>
      <c r="CE28" s="30"/>
      <c r="CF28" s="28"/>
      <c r="CG28" s="29"/>
      <c r="CH28" s="29"/>
      <c r="CI28" s="29"/>
      <c r="CJ28" s="29"/>
      <c r="CK28" s="29"/>
      <c r="CL28" s="29"/>
      <c r="CM28" s="29"/>
      <c r="CN28" s="29"/>
      <c r="CO28" s="29"/>
      <c r="CP28" s="29"/>
      <c r="CQ28" s="30"/>
    </row>
    <row r="29" spans="1:95" ht="17.25" thickBot="1" x14ac:dyDescent="0.35">
      <c r="A29" t="s">
        <v>87</v>
      </c>
      <c r="D29" s="76"/>
      <c r="E29" s="82"/>
      <c r="F29" s="76" t="str">
        <f t="shared" si="0"/>
        <v/>
      </c>
      <c r="J29" s="5" t="s">
        <v>32</v>
      </c>
      <c r="K29" s="6">
        <v>2</v>
      </c>
      <c r="L29" s="31"/>
      <c r="M29" s="32"/>
      <c r="N29" s="32"/>
      <c r="O29" s="32"/>
      <c r="P29" s="32"/>
      <c r="Q29" s="32"/>
      <c r="R29" s="32"/>
      <c r="S29" s="32"/>
      <c r="T29" s="304" t="s">
        <v>15</v>
      </c>
      <c r="U29" s="304"/>
      <c r="V29" s="32"/>
      <c r="W29" s="33"/>
      <c r="X29" s="31"/>
      <c r="Y29" s="32"/>
      <c r="Z29" s="32"/>
      <c r="AA29" s="32"/>
      <c r="AB29" s="32"/>
      <c r="AC29" s="32"/>
      <c r="AD29" s="32"/>
      <c r="AE29" s="32"/>
      <c r="AF29" s="32"/>
      <c r="AG29" s="32"/>
      <c r="AH29" s="32"/>
      <c r="AI29" s="33"/>
      <c r="AJ29" s="31"/>
      <c r="AK29" s="32"/>
      <c r="AL29" s="32"/>
      <c r="AM29" s="32"/>
      <c r="AN29" s="32"/>
      <c r="AO29" s="32"/>
      <c r="AP29" s="32"/>
      <c r="AQ29" s="32"/>
      <c r="AR29" s="32"/>
      <c r="AS29" s="32"/>
      <c r="AT29" s="32"/>
      <c r="AU29" s="33"/>
      <c r="AV29" s="31"/>
      <c r="AW29" s="32"/>
      <c r="AX29" s="32"/>
      <c r="AY29" s="32"/>
      <c r="AZ29" s="32"/>
      <c r="BA29" s="32"/>
      <c r="BB29" s="32"/>
      <c r="BC29" s="32"/>
      <c r="BD29" s="32"/>
      <c r="BE29" s="32"/>
      <c r="BF29" s="32"/>
      <c r="BG29" s="33"/>
      <c r="BH29" s="31"/>
      <c r="BI29" s="32"/>
      <c r="BJ29" s="32"/>
      <c r="BK29" s="32"/>
      <c r="BL29" s="32"/>
      <c r="BM29" s="32"/>
      <c r="BN29" s="32"/>
      <c r="BO29" s="32"/>
      <c r="BP29" s="297" t="s">
        <v>15</v>
      </c>
      <c r="BQ29" s="297"/>
      <c r="BR29" s="297"/>
      <c r="BS29" s="33"/>
      <c r="BT29" s="31"/>
      <c r="BU29" s="32"/>
      <c r="BV29" s="32"/>
      <c r="BW29" s="32"/>
      <c r="BX29" s="32"/>
      <c r="BY29" s="32"/>
      <c r="BZ29" s="32"/>
      <c r="CA29" s="32"/>
      <c r="CB29" s="32"/>
      <c r="CC29" s="32"/>
      <c r="CD29" s="32"/>
      <c r="CE29" s="33"/>
      <c r="CF29" s="31"/>
      <c r="CG29" s="32"/>
      <c r="CH29" s="32"/>
      <c r="CI29" s="32"/>
      <c r="CJ29" s="32"/>
      <c r="CK29" s="32"/>
      <c r="CL29" s="32"/>
      <c r="CM29" s="32"/>
      <c r="CN29" s="32"/>
      <c r="CO29" s="32"/>
      <c r="CP29" s="32"/>
      <c r="CQ29" s="33"/>
    </row>
    <row r="30" spans="1:95" x14ac:dyDescent="0.3">
      <c r="A30" t="s">
        <v>88</v>
      </c>
      <c r="D30" s="76"/>
      <c r="E30" s="82"/>
      <c r="F30" s="76" t="str">
        <f t="shared" si="0"/>
        <v/>
      </c>
      <c r="J30" s="5" t="s">
        <v>32</v>
      </c>
      <c r="K30" s="6">
        <v>3</v>
      </c>
      <c r="L30" s="31"/>
      <c r="M30" s="32"/>
      <c r="N30" s="32"/>
      <c r="O30" s="32"/>
      <c r="P30" s="32"/>
      <c r="Q30" s="32"/>
      <c r="R30" s="32"/>
      <c r="S30" s="32"/>
      <c r="T30" s="32"/>
      <c r="U30" s="32"/>
      <c r="V30" s="32"/>
      <c r="W30" s="33"/>
      <c r="X30" s="31"/>
      <c r="Y30" s="32"/>
      <c r="Z30" s="32"/>
      <c r="AA30" s="34"/>
      <c r="AB30" s="34"/>
      <c r="AC30" s="32"/>
      <c r="AD30" s="32"/>
      <c r="AE30" s="32"/>
      <c r="AF30" s="307" t="s">
        <v>33</v>
      </c>
      <c r="AG30" s="308"/>
      <c r="AH30" s="309"/>
      <c r="AI30" s="33"/>
      <c r="AJ30" s="31"/>
      <c r="AK30" s="32"/>
      <c r="AL30" s="32"/>
      <c r="AM30" s="32"/>
      <c r="AN30" s="32"/>
      <c r="AO30" s="32"/>
      <c r="AP30" s="32"/>
      <c r="AQ30" s="73"/>
      <c r="AR30" s="73"/>
      <c r="AS30" s="32"/>
      <c r="AT30" s="32"/>
      <c r="AU30" s="33"/>
      <c r="AV30" s="31"/>
      <c r="AW30" s="32"/>
      <c r="AX30" s="32"/>
      <c r="AY30" s="32"/>
      <c r="AZ30" s="32"/>
      <c r="BA30" s="32"/>
      <c r="BB30" s="32"/>
      <c r="BC30" s="32"/>
      <c r="BD30" s="32"/>
      <c r="BE30" s="32"/>
      <c r="BF30" s="32"/>
      <c r="BG30" s="33"/>
      <c r="BH30" s="31"/>
      <c r="BI30" s="32"/>
      <c r="BJ30" s="32"/>
      <c r="BK30" s="32"/>
      <c r="BL30" s="32"/>
      <c r="BM30" s="32"/>
      <c r="BN30" s="32"/>
      <c r="BO30" s="32"/>
      <c r="BP30" s="32"/>
      <c r="BQ30" s="32"/>
      <c r="BR30" s="32"/>
      <c r="BS30" s="33"/>
      <c r="BT30" s="31"/>
      <c r="BU30" s="32"/>
      <c r="BV30" s="32"/>
      <c r="BW30" s="32"/>
      <c r="BX30" s="32"/>
      <c r="BY30" s="32"/>
      <c r="BZ30" s="32"/>
      <c r="CA30" s="32"/>
      <c r="CB30" s="297" t="s">
        <v>15</v>
      </c>
      <c r="CC30" s="297"/>
      <c r="CD30" s="297"/>
      <c r="CE30" s="33"/>
      <c r="CF30" s="31"/>
      <c r="CG30" s="32"/>
      <c r="CH30" s="32"/>
      <c r="CI30" s="32"/>
      <c r="CJ30" s="32"/>
      <c r="CK30" s="32"/>
      <c r="CL30" s="32"/>
      <c r="CM30" s="32"/>
      <c r="CN30" s="32"/>
      <c r="CO30" s="32"/>
      <c r="CP30" s="32"/>
      <c r="CQ30" s="33"/>
    </row>
    <row r="31" spans="1:95" ht="17.25" thickBot="1" x14ac:dyDescent="0.35">
      <c r="A31" t="s">
        <v>89</v>
      </c>
      <c r="D31" s="76"/>
      <c r="E31" s="82"/>
      <c r="F31" s="76" t="str">
        <f t="shared" si="0"/>
        <v/>
      </c>
      <c r="J31" s="7" t="s">
        <v>32</v>
      </c>
      <c r="K31" s="8">
        <v>4</v>
      </c>
      <c r="L31" s="35"/>
      <c r="M31" s="36"/>
      <c r="N31" s="36"/>
      <c r="O31" s="36"/>
      <c r="P31" s="36"/>
      <c r="Q31" s="36"/>
      <c r="R31" s="36"/>
      <c r="S31" s="36"/>
      <c r="T31" s="36"/>
      <c r="U31" s="36"/>
      <c r="V31" s="36"/>
      <c r="W31" s="37"/>
      <c r="X31" s="35"/>
      <c r="Y31" s="36"/>
      <c r="Z31" s="36"/>
      <c r="AA31" s="36"/>
      <c r="AB31" s="36"/>
      <c r="AC31" s="36"/>
      <c r="AD31" s="36"/>
      <c r="AE31" s="36"/>
      <c r="AF31" s="36"/>
      <c r="AG31" s="306"/>
      <c r="AH31" s="306"/>
      <c r="AI31" s="37"/>
      <c r="AJ31" s="35"/>
      <c r="AK31" s="36"/>
      <c r="AL31" s="36"/>
      <c r="AM31" s="36"/>
      <c r="AN31" s="36"/>
      <c r="AO31" s="36"/>
      <c r="AP31" s="36"/>
      <c r="AQ31" s="36"/>
      <c r="AR31" s="297" t="s">
        <v>15</v>
      </c>
      <c r="AS31" s="297"/>
      <c r="AT31" s="297"/>
      <c r="AU31" s="37"/>
      <c r="AV31" s="35"/>
      <c r="AW31" s="36"/>
      <c r="AX31" s="36"/>
      <c r="AY31" s="36"/>
      <c r="AZ31" s="36"/>
      <c r="BA31" s="36"/>
      <c r="BB31" s="36"/>
      <c r="BC31" s="36"/>
      <c r="BD31" s="36"/>
      <c r="BE31" s="36"/>
      <c r="BF31" s="36"/>
      <c r="BG31" s="37"/>
      <c r="BH31" s="35"/>
      <c r="BI31" s="36"/>
      <c r="BJ31" s="36"/>
      <c r="BK31" s="36"/>
      <c r="BL31" s="36"/>
      <c r="BM31" s="36"/>
      <c r="BN31" s="36"/>
      <c r="BO31" s="36"/>
      <c r="BP31" s="36"/>
      <c r="BQ31" s="36"/>
      <c r="BR31" s="36"/>
      <c r="BS31" s="37"/>
      <c r="BT31" s="35"/>
      <c r="BU31" s="36"/>
      <c r="BV31" s="36"/>
      <c r="BW31" s="36"/>
      <c r="BX31" s="36"/>
      <c r="BY31" s="36"/>
      <c r="BZ31" s="36"/>
      <c r="CA31" s="36"/>
      <c r="CB31" s="36"/>
      <c r="CC31" s="36"/>
      <c r="CD31" s="36"/>
      <c r="CE31" s="37"/>
      <c r="CF31" s="35"/>
      <c r="CG31" s="36"/>
      <c r="CH31" s="36"/>
      <c r="CI31" s="36"/>
      <c r="CJ31" s="36"/>
      <c r="CK31" s="36"/>
      <c r="CL31" s="36"/>
      <c r="CM31" s="36"/>
      <c r="CN31" s="297" t="s">
        <v>15</v>
      </c>
      <c r="CO31" s="297"/>
      <c r="CP31" s="297"/>
      <c r="CQ31" s="37"/>
    </row>
    <row r="32" spans="1:95" ht="17.25" thickBot="1" x14ac:dyDescent="0.35">
      <c r="A32" t="s">
        <v>90</v>
      </c>
      <c r="D32" s="76"/>
      <c r="E32" s="82"/>
      <c r="F32" s="76" t="str">
        <f t="shared" si="0"/>
        <v/>
      </c>
      <c r="J32" s="62" t="s">
        <v>34</v>
      </c>
      <c r="K32" s="16">
        <v>1</v>
      </c>
      <c r="L32" s="52"/>
      <c r="M32" s="53"/>
      <c r="N32" s="53"/>
      <c r="O32" s="53"/>
      <c r="P32" s="53"/>
      <c r="Q32" s="53"/>
      <c r="R32" s="53"/>
      <c r="S32" s="53"/>
      <c r="T32" s="53"/>
      <c r="U32" s="53"/>
      <c r="V32" s="53"/>
      <c r="W32" s="54"/>
      <c r="X32" s="52"/>
      <c r="Y32" s="53"/>
      <c r="Z32" s="53"/>
      <c r="AA32" s="53"/>
      <c r="AB32" s="53"/>
      <c r="AC32" s="53"/>
      <c r="AD32" s="53"/>
      <c r="AE32" s="53"/>
      <c r="AF32" s="53"/>
      <c r="AG32" s="53"/>
      <c r="AH32" s="53"/>
      <c r="AI32" s="54"/>
      <c r="AJ32" s="52"/>
      <c r="AK32" s="53"/>
      <c r="AL32" s="53"/>
      <c r="AM32" s="298" t="s">
        <v>15</v>
      </c>
      <c r="AN32" s="298"/>
      <c r="AO32" s="53"/>
      <c r="AP32" s="53"/>
      <c r="AQ32" s="53"/>
      <c r="AR32" s="53"/>
      <c r="AS32" s="53"/>
      <c r="AT32" s="53"/>
      <c r="AU32" s="54"/>
      <c r="AV32" s="52"/>
      <c r="AW32" s="53"/>
      <c r="AX32" s="53"/>
      <c r="AY32" s="53"/>
      <c r="AZ32" s="53"/>
      <c r="BA32" s="53"/>
      <c r="BB32" s="53"/>
      <c r="BC32" s="53"/>
      <c r="BD32" s="53"/>
      <c r="BE32" s="53"/>
      <c r="BF32" s="53"/>
      <c r="BG32" s="54"/>
      <c r="BH32" s="52"/>
      <c r="BI32" s="53"/>
      <c r="BJ32" s="53"/>
      <c r="BK32" s="53"/>
      <c r="BL32" s="53"/>
      <c r="BM32" s="53"/>
      <c r="BN32" s="53"/>
      <c r="BO32" s="53"/>
      <c r="BP32" s="53"/>
      <c r="BQ32" s="53"/>
      <c r="BR32" s="53"/>
      <c r="BS32" s="54"/>
      <c r="BT32" s="52"/>
      <c r="BU32" s="53"/>
      <c r="BV32" s="53"/>
      <c r="BW32" s="53"/>
      <c r="BX32" s="53"/>
      <c r="BY32" s="53"/>
      <c r="BZ32" s="53"/>
      <c r="CA32" s="53"/>
      <c r="CB32" s="53"/>
      <c r="CC32" s="53"/>
      <c r="CD32" s="53"/>
      <c r="CE32" s="54"/>
      <c r="CF32" s="52"/>
      <c r="CG32" s="53"/>
      <c r="CH32" s="53"/>
      <c r="CI32" s="53"/>
      <c r="CJ32" s="53"/>
      <c r="CK32" s="53"/>
      <c r="CL32" s="53"/>
      <c r="CM32" s="53"/>
      <c r="CN32" s="53"/>
      <c r="CO32" s="53"/>
      <c r="CP32" s="53"/>
      <c r="CQ32" s="54"/>
    </row>
    <row r="33" spans="1:95" x14ac:dyDescent="0.3">
      <c r="A33" t="s">
        <v>91</v>
      </c>
      <c r="D33" s="76"/>
      <c r="E33" s="82"/>
      <c r="F33" s="76" t="str">
        <f t="shared" si="0"/>
        <v/>
      </c>
      <c r="J33" s="5" t="s">
        <v>35</v>
      </c>
      <c r="K33" s="6">
        <v>6</v>
      </c>
      <c r="L33" s="31"/>
      <c r="M33" s="32"/>
      <c r="N33" s="32"/>
      <c r="O33" s="32"/>
      <c r="P33" s="32"/>
      <c r="Q33" s="32"/>
      <c r="R33" s="32"/>
      <c r="S33" s="32"/>
      <c r="T33" s="32"/>
      <c r="U33" s="32"/>
      <c r="V33" s="32"/>
      <c r="W33" s="33"/>
      <c r="X33" s="31"/>
      <c r="Y33" s="32"/>
      <c r="Z33" s="32"/>
      <c r="AA33" s="32"/>
      <c r="AB33" s="32"/>
      <c r="AC33" s="32"/>
      <c r="AD33" s="32"/>
      <c r="AE33" s="32"/>
      <c r="AF33" s="32"/>
      <c r="AG33" s="32"/>
      <c r="AH33" s="32"/>
      <c r="AI33" s="33"/>
      <c r="AJ33" s="31"/>
      <c r="AK33" s="32"/>
      <c r="AL33" s="32"/>
      <c r="AM33" s="32"/>
      <c r="AN33" s="32"/>
      <c r="AO33" s="32"/>
      <c r="AP33" s="32"/>
      <c r="AQ33" s="32"/>
      <c r="AR33" s="32"/>
      <c r="AS33" s="32"/>
      <c r="AT33" s="32"/>
      <c r="AU33" s="33"/>
      <c r="AV33" s="31"/>
      <c r="AW33" s="32"/>
      <c r="AX33" s="32"/>
      <c r="AY33" s="32"/>
      <c r="AZ33" s="32"/>
      <c r="BA33" s="32"/>
      <c r="BB33" s="32"/>
      <c r="BC33" s="32"/>
      <c r="BD33" s="32"/>
      <c r="BE33" s="32"/>
      <c r="BF33" s="32"/>
      <c r="BG33" s="33"/>
      <c r="BH33" s="31"/>
      <c r="BI33" s="32"/>
      <c r="BJ33" s="32"/>
      <c r="BK33" s="32"/>
      <c r="BL33" s="32"/>
      <c r="BM33" s="32"/>
      <c r="BN33" s="32"/>
      <c r="BO33" s="32"/>
      <c r="BP33" s="32"/>
      <c r="BQ33" s="32"/>
      <c r="BR33" s="32"/>
      <c r="BS33" s="33"/>
      <c r="BT33" s="31"/>
      <c r="BU33" s="32"/>
      <c r="BV33" s="32"/>
      <c r="BW33" s="32"/>
      <c r="BX33" s="32"/>
      <c r="BY33" s="32"/>
      <c r="BZ33" s="32"/>
      <c r="CA33" s="32"/>
      <c r="CB33" s="32"/>
      <c r="CC33" s="32"/>
      <c r="CD33" s="32"/>
      <c r="CE33" s="33"/>
      <c r="CF33" s="31"/>
      <c r="CG33" s="32"/>
      <c r="CH33" s="32"/>
      <c r="CI33" s="32"/>
      <c r="CJ33" s="32"/>
      <c r="CK33" s="32"/>
      <c r="CL33" s="32"/>
      <c r="CM33" s="32"/>
      <c r="CN33" s="32"/>
      <c r="CO33" s="32"/>
      <c r="CP33" s="32"/>
      <c r="CQ33" s="33"/>
    </row>
    <row r="34" spans="1:95" x14ac:dyDescent="0.3">
      <c r="A34" t="s">
        <v>92</v>
      </c>
      <c r="D34" s="76"/>
      <c r="E34" s="82"/>
      <c r="F34" s="76" t="str">
        <f t="shared" si="0"/>
        <v/>
      </c>
      <c r="J34" s="10" t="s">
        <v>35</v>
      </c>
      <c r="K34" s="17">
        <v>7</v>
      </c>
      <c r="L34" s="50"/>
      <c r="M34" s="48"/>
      <c r="N34" s="48"/>
      <c r="O34" s="48"/>
      <c r="P34" s="48"/>
      <c r="Q34" s="48"/>
      <c r="R34" s="48"/>
      <c r="S34" s="48"/>
      <c r="T34" s="299" t="s">
        <v>15</v>
      </c>
      <c r="U34" s="300"/>
      <c r="V34" s="300"/>
      <c r="W34" s="301"/>
      <c r="X34" s="50"/>
      <c r="Y34" s="48"/>
      <c r="Z34" s="48"/>
      <c r="AA34" s="48"/>
      <c r="AB34" s="48"/>
      <c r="AC34" s="48"/>
      <c r="AD34" s="48"/>
      <c r="AE34" s="48"/>
      <c r="AF34" s="48"/>
      <c r="AG34" s="48"/>
      <c r="AH34" s="48"/>
      <c r="AI34" s="51"/>
      <c r="AJ34" s="50"/>
      <c r="AK34" s="48"/>
      <c r="AL34" s="48"/>
      <c r="AM34" s="48"/>
      <c r="AN34" s="48"/>
      <c r="AO34" s="48"/>
      <c r="AP34" s="48"/>
      <c r="AQ34" s="48"/>
      <c r="AR34" s="48"/>
      <c r="AS34" s="302" t="s">
        <v>16</v>
      </c>
      <c r="AT34" s="303"/>
      <c r="AU34" s="51"/>
      <c r="AV34" s="50"/>
      <c r="AW34" s="48"/>
      <c r="AX34" s="48"/>
      <c r="AY34" s="48"/>
      <c r="AZ34" s="48"/>
      <c r="BA34" s="48"/>
      <c r="BB34" s="48"/>
      <c r="BC34" s="48"/>
      <c r="BD34" s="48"/>
      <c r="BE34" s="48"/>
      <c r="BF34" s="48"/>
      <c r="BG34" s="33"/>
      <c r="BH34" s="50"/>
      <c r="BI34" s="48"/>
      <c r="BJ34" s="48"/>
      <c r="BK34" s="48"/>
      <c r="BL34" s="48"/>
      <c r="BM34" s="48"/>
      <c r="BN34" s="48"/>
      <c r="BO34" s="48"/>
      <c r="BP34" s="48"/>
      <c r="BQ34" s="48"/>
      <c r="BR34" s="48"/>
      <c r="BS34" s="33"/>
      <c r="BT34" s="50"/>
      <c r="BU34" s="48"/>
      <c r="BV34" s="48"/>
      <c r="BW34" s="48"/>
      <c r="BX34" s="48"/>
      <c r="BY34" s="48"/>
      <c r="BZ34" s="48"/>
      <c r="CA34" s="48"/>
      <c r="CB34" s="48"/>
      <c r="CC34" s="48"/>
      <c r="CD34" s="48"/>
      <c r="CE34" s="33"/>
      <c r="CF34" s="50"/>
      <c r="CG34" s="48"/>
      <c r="CH34" s="48"/>
      <c r="CI34" s="48"/>
      <c r="CJ34" s="48"/>
      <c r="CK34" s="48"/>
      <c r="CL34" s="48"/>
      <c r="CM34" s="48"/>
      <c r="CN34" s="48"/>
      <c r="CO34" s="48"/>
      <c r="CP34" s="48"/>
      <c r="CQ34" s="33"/>
    </row>
    <row r="35" spans="1:95" ht="17.25" thickBot="1" x14ac:dyDescent="0.35">
      <c r="A35" t="s">
        <v>93</v>
      </c>
      <c r="D35" s="76"/>
      <c r="E35" s="82"/>
      <c r="F35" s="76" t="str">
        <f t="shared" si="0"/>
        <v/>
      </c>
      <c r="J35" s="18" t="s">
        <v>35</v>
      </c>
      <c r="K35" s="19">
        <v>8</v>
      </c>
      <c r="L35" s="55"/>
      <c r="M35" s="56"/>
      <c r="N35" s="56"/>
      <c r="O35" s="56"/>
      <c r="P35" s="56"/>
      <c r="Q35" s="56"/>
      <c r="R35" s="56"/>
      <c r="S35" s="56"/>
      <c r="T35" s="304" t="s">
        <v>16</v>
      </c>
      <c r="U35" s="304"/>
      <c r="V35" s="56"/>
      <c r="W35" s="57"/>
      <c r="X35" s="55"/>
      <c r="Y35" s="56"/>
      <c r="Z35" s="56"/>
      <c r="AA35" s="56"/>
      <c r="AB35" s="56"/>
      <c r="AC35" s="56"/>
      <c r="AD35" s="56"/>
      <c r="AE35" s="56"/>
      <c r="AF35" s="56"/>
      <c r="AG35" s="56"/>
      <c r="AH35" s="56"/>
      <c r="AI35" s="57"/>
      <c r="AJ35" s="55"/>
      <c r="AK35" s="56"/>
      <c r="AL35" s="56"/>
      <c r="AM35" s="56"/>
      <c r="AN35" s="56"/>
      <c r="AO35" s="56"/>
      <c r="AP35" s="56"/>
      <c r="AQ35" s="56"/>
      <c r="AR35" s="297" t="s">
        <v>15</v>
      </c>
      <c r="AS35" s="297"/>
      <c r="AT35" s="297"/>
      <c r="AU35" s="57"/>
      <c r="AV35" s="55"/>
      <c r="AW35" s="56"/>
      <c r="AX35" s="56"/>
      <c r="AY35" s="56"/>
      <c r="AZ35" s="56"/>
      <c r="BA35" s="56"/>
      <c r="BB35" s="56"/>
      <c r="BC35" s="56"/>
      <c r="BD35" s="56"/>
      <c r="BE35" s="56"/>
      <c r="BF35" s="56"/>
      <c r="BG35" s="33"/>
      <c r="BH35" s="55"/>
      <c r="BI35" s="56"/>
      <c r="BJ35" s="56"/>
      <c r="BK35" s="56"/>
      <c r="BL35" s="56"/>
      <c r="BM35" s="56"/>
      <c r="BN35" s="56"/>
      <c r="BO35" s="56"/>
      <c r="BP35" s="56"/>
      <c r="BQ35" s="56"/>
      <c r="BR35" s="56"/>
      <c r="BS35" s="33"/>
      <c r="BT35" s="55"/>
      <c r="BU35" s="56"/>
      <c r="BV35" s="56"/>
      <c r="BW35" s="56"/>
      <c r="BX35" s="56"/>
      <c r="BY35" s="56"/>
      <c r="BZ35" s="56"/>
      <c r="CA35" s="56"/>
      <c r="CB35" s="56"/>
      <c r="CC35" s="56"/>
      <c r="CD35" s="56"/>
      <c r="CE35" s="33"/>
      <c r="CF35" s="55"/>
      <c r="CG35" s="56"/>
      <c r="CH35" s="56"/>
      <c r="CI35" s="56"/>
      <c r="CJ35" s="56"/>
      <c r="CK35" s="56"/>
      <c r="CL35" s="56"/>
      <c r="CM35" s="56"/>
      <c r="CN35" s="56"/>
      <c r="CO35" s="56"/>
      <c r="CP35" s="56"/>
      <c r="CQ35" s="33"/>
    </row>
    <row r="36" spans="1:95" x14ac:dyDescent="0.3">
      <c r="A36" t="s">
        <v>94</v>
      </c>
      <c r="D36" s="76"/>
      <c r="E36" s="82"/>
      <c r="F36" s="76" t="str">
        <f t="shared" si="0"/>
        <v/>
      </c>
      <c r="J36" s="9" t="s">
        <v>36</v>
      </c>
      <c r="K36" s="20">
        <v>1</v>
      </c>
      <c r="L36" s="28"/>
      <c r="M36" s="29"/>
      <c r="N36" s="29"/>
      <c r="O36" s="29"/>
      <c r="P36" s="29"/>
      <c r="Q36" s="29"/>
      <c r="R36" s="29"/>
      <c r="S36" s="29"/>
      <c r="T36" s="29"/>
      <c r="U36" s="29"/>
      <c r="V36" s="29"/>
      <c r="W36" s="58"/>
      <c r="X36" s="28"/>
      <c r="Y36" s="29"/>
      <c r="Z36" s="29"/>
      <c r="AA36" s="29"/>
      <c r="AB36" s="29"/>
      <c r="AC36" s="29"/>
      <c r="AD36" s="29"/>
      <c r="AE36" s="29"/>
      <c r="AF36" s="29"/>
      <c r="AG36" s="29"/>
      <c r="AH36" s="29"/>
      <c r="AI36" s="58"/>
      <c r="AJ36" s="28"/>
      <c r="AK36" s="29"/>
      <c r="AL36" s="29"/>
      <c r="AM36" s="29"/>
      <c r="AN36" s="29"/>
      <c r="AO36" s="29"/>
      <c r="AP36" s="29"/>
      <c r="AQ36" s="29"/>
      <c r="AR36" s="29"/>
      <c r="AS36" s="29"/>
      <c r="AT36" s="29"/>
      <c r="AU36" s="30"/>
      <c r="AV36" s="28"/>
      <c r="AW36" s="29"/>
      <c r="AX36" s="29"/>
      <c r="AY36" s="29"/>
      <c r="AZ36" s="29"/>
      <c r="BA36" s="29"/>
      <c r="BB36" s="29"/>
      <c r="BC36" s="29"/>
      <c r="BD36" s="29"/>
      <c r="BE36" s="29"/>
      <c r="BF36" s="29"/>
      <c r="BG36" s="30"/>
      <c r="BH36" s="28"/>
      <c r="BI36" s="29"/>
      <c r="BJ36" s="29"/>
      <c r="BK36" s="29"/>
      <c r="BL36" s="29"/>
      <c r="BM36" s="29"/>
      <c r="BN36" s="29"/>
      <c r="BO36" s="29"/>
      <c r="BP36" s="29"/>
      <c r="BQ36" s="29"/>
      <c r="BR36" s="29"/>
      <c r="BS36" s="30"/>
      <c r="BT36" s="28"/>
      <c r="BU36" s="29"/>
      <c r="BV36" s="29"/>
      <c r="BW36" s="29"/>
      <c r="BX36" s="29"/>
      <c r="BY36" s="29"/>
      <c r="BZ36" s="29"/>
      <c r="CA36" s="29"/>
      <c r="CB36" s="29"/>
      <c r="CC36" s="29"/>
      <c r="CD36" s="29"/>
      <c r="CE36" s="30"/>
      <c r="CF36" s="28"/>
      <c r="CG36" s="29"/>
      <c r="CH36" s="29"/>
      <c r="CI36" s="29"/>
      <c r="CJ36" s="29"/>
      <c r="CK36" s="29"/>
      <c r="CL36" s="29"/>
      <c r="CM36" s="29"/>
      <c r="CN36" s="29"/>
      <c r="CO36" s="29"/>
      <c r="CP36" s="29"/>
      <c r="CQ36" s="30"/>
    </row>
    <row r="37" spans="1:95" ht="17.25" thickBot="1" x14ac:dyDescent="0.35">
      <c r="A37" t="s">
        <v>95</v>
      </c>
      <c r="D37" s="76"/>
      <c r="E37" s="82"/>
      <c r="F37" s="76" t="str">
        <f t="shared" si="0"/>
        <v/>
      </c>
      <c r="J37" s="21" t="s">
        <v>36</v>
      </c>
      <c r="K37" s="22">
        <v>2</v>
      </c>
      <c r="L37" s="35"/>
      <c r="M37" s="36"/>
      <c r="N37" s="36"/>
      <c r="O37" s="36"/>
      <c r="P37" s="36"/>
      <c r="Q37" s="36"/>
      <c r="R37" s="36"/>
      <c r="S37" s="36"/>
      <c r="T37" s="36"/>
      <c r="U37" s="36"/>
      <c r="V37" s="36"/>
      <c r="W37" s="37"/>
      <c r="X37" s="60"/>
      <c r="Y37" s="36"/>
      <c r="Z37" s="36"/>
      <c r="AA37" s="36"/>
      <c r="AB37" s="36"/>
      <c r="AC37" s="36"/>
      <c r="AD37" s="36"/>
      <c r="AE37" s="36"/>
      <c r="AF37" s="36"/>
      <c r="AG37" s="36"/>
      <c r="AH37" s="36"/>
      <c r="AI37" s="59"/>
      <c r="AJ37" s="35"/>
      <c r="AK37" s="36"/>
      <c r="AL37" s="36"/>
      <c r="AM37" s="36"/>
      <c r="AN37" s="36"/>
      <c r="AO37" s="36"/>
      <c r="AP37" s="36"/>
      <c r="AQ37" s="36"/>
      <c r="AR37" s="36"/>
      <c r="AS37" s="36"/>
      <c r="AT37" s="36"/>
      <c r="AU37" s="37"/>
      <c r="AV37" s="35"/>
      <c r="AW37" s="36"/>
      <c r="AX37" s="36"/>
      <c r="AY37" s="36"/>
      <c r="AZ37" s="36"/>
      <c r="BA37" s="36"/>
      <c r="BB37" s="36"/>
      <c r="BC37" s="36"/>
      <c r="BD37" s="36"/>
      <c r="BE37" s="36"/>
      <c r="BF37" s="36"/>
      <c r="BG37" s="37"/>
      <c r="BH37" s="35"/>
      <c r="BI37" s="36"/>
      <c r="BJ37" s="36"/>
      <c r="BK37" s="36"/>
      <c r="BL37" s="36"/>
      <c r="BM37" s="36"/>
      <c r="BN37" s="36"/>
      <c r="BO37" s="36"/>
      <c r="BP37" s="36"/>
      <c r="BQ37" s="36"/>
      <c r="BR37" s="36"/>
      <c r="BS37" s="37"/>
      <c r="BT37" s="35"/>
      <c r="BU37" s="36"/>
      <c r="BV37" s="36"/>
      <c r="BW37" s="36"/>
      <c r="BX37" s="36"/>
      <c r="BY37" s="36"/>
      <c r="BZ37" s="36"/>
      <c r="CA37" s="36"/>
      <c r="CB37" s="36"/>
      <c r="CC37" s="36"/>
      <c r="CD37" s="36"/>
      <c r="CE37" s="37"/>
      <c r="CF37" s="35"/>
      <c r="CG37" s="36"/>
      <c r="CH37" s="36"/>
      <c r="CI37" s="36"/>
      <c r="CJ37" s="36"/>
      <c r="CK37" s="36"/>
      <c r="CL37" s="36"/>
      <c r="CM37" s="36"/>
      <c r="CN37" s="36"/>
      <c r="CO37" s="36"/>
      <c r="CP37" s="36"/>
      <c r="CQ37" s="37"/>
    </row>
    <row r="38" spans="1:95" x14ac:dyDescent="0.3">
      <c r="A38" t="s">
        <v>96</v>
      </c>
      <c r="D38" s="76"/>
      <c r="F38" s="76" t="str">
        <f t="shared" si="0"/>
        <v/>
      </c>
    </row>
  </sheetData>
  <mergeCells count="40">
    <mergeCell ref="Z10:AB10"/>
    <mergeCell ref="BW10:BX10"/>
    <mergeCell ref="AF12:AG12"/>
    <mergeCell ref="AL9:AN9"/>
    <mergeCell ref="L5:W5"/>
    <mergeCell ref="X5:AI5"/>
    <mergeCell ref="AJ5:AU5"/>
    <mergeCell ref="AV5:BG5"/>
    <mergeCell ref="CF5:CQ5"/>
    <mergeCell ref="O7:Q7"/>
    <mergeCell ref="BJ7:BL7"/>
    <mergeCell ref="U8:V8"/>
    <mergeCell ref="AX8:AZ8"/>
    <mergeCell ref="BH5:BS5"/>
    <mergeCell ref="BT5:CE5"/>
    <mergeCell ref="U13:V13"/>
    <mergeCell ref="AH14:AI14"/>
    <mergeCell ref="BP29:BR29"/>
    <mergeCell ref="AF17:AG17"/>
    <mergeCell ref="BD18:BE18"/>
    <mergeCell ref="T19:U19"/>
    <mergeCell ref="AL20:AN20"/>
    <mergeCell ref="AR21:AT21"/>
    <mergeCell ref="BD22:BF22"/>
    <mergeCell ref="AM24:AO24"/>
    <mergeCell ref="S26:V26"/>
    <mergeCell ref="Y16:Z16"/>
    <mergeCell ref="N28:O28"/>
    <mergeCell ref="BD28:BF28"/>
    <mergeCell ref="T29:U29"/>
    <mergeCell ref="CB30:CD30"/>
    <mergeCell ref="AG31:AH31"/>
    <mergeCell ref="AR31:AT31"/>
    <mergeCell ref="AF30:AH30"/>
    <mergeCell ref="CN31:CP31"/>
    <mergeCell ref="AM32:AN32"/>
    <mergeCell ref="T34:W34"/>
    <mergeCell ref="AS34:AT34"/>
    <mergeCell ref="T35:U35"/>
    <mergeCell ref="AR35:AT35"/>
  </mergeCells>
  <pageMargins left="0.7" right="0.7" top="0.75" bottom="0.75" header="0.3" footer="0.3"/>
  <legacy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
  <sheetViews>
    <sheetView workbookViewId="0">
      <selection activeCell="T16" sqref="T16"/>
    </sheetView>
  </sheetViews>
  <sheetFormatPr defaultRowHeight="16.5" x14ac:dyDescent="0.3"/>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2.xml><?xml version="1.0" encoding="utf-8"?>
<ct:contentTypeSchema xmlns:ct="http://schemas.microsoft.com/office/2006/metadata/contentType" xmlns:ma="http://schemas.microsoft.com/office/2006/metadata/properties/metaAttributes" ct:_="" ma:_="" ma:contentTypeName="Word document" ma:contentTypeID="0x0101002A22132FFF2F4F41B88BFBBA79FB96A3" ma:contentTypeVersion="1" ma:contentTypeDescription="Create a new document." ma:contentTypeScope="" ma:versionID="4c63aced7b19572e83ea4c74ab812b7f">
  <xsd:schema xmlns:xsd="http://www.w3.org/2001/XMLSchema" xmlns:xs="http://www.w3.org/2001/XMLSchema" xmlns:p="http://schemas.microsoft.com/office/2006/metadata/properties" xmlns:ns1="http://schemas.microsoft.com/sharepoint/v3" xmlns:ns2="843bdd22-3fe4-4bc1-a7f9-a2efe7205b83" targetNamespace="http://schemas.microsoft.com/office/2006/metadata/properties" ma:root="true" ma:fieldsID="0210bbd8e2e91e82fb0595a14c8a9027" ns1:_="" ns2:_="">
    <xsd:import namespace="http://schemas.microsoft.com/sharepoint/v3"/>
    <xsd:import namespace="843bdd22-3fe4-4bc1-a7f9-a2efe7205b83"/>
    <xsd:element name="properties">
      <xsd:complexType>
        <xsd:sequence>
          <xsd:element name="documentManagement">
            <xsd:complexType>
              <xsd:all>
                <xsd:element ref="ns1:PublishingStartDate" minOccurs="0"/>
                <xsd:element ref="ns1:PublishingExpirationDate" minOccurs="0"/>
                <xsd:element ref="ns2: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internalName="PublishingStartDat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843bdd22-3fe4-4bc1-a7f9-a2efe7205b83"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04581B1-3BFA-433B-93DB-4416F38F4394}">
  <ds:schemaRefs>
    <ds:schemaRef ds:uri="843bdd22-3fe4-4bc1-a7f9-a2efe7205b83"/>
    <ds:schemaRef ds:uri="http://schemas.microsoft.com/sharepoint/v3"/>
    <ds:schemaRef ds:uri="http://purl.org/dc/terms/"/>
    <ds:schemaRef ds:uri="http://schemas.openxmlformats.org/package/2006/metadata/core-properties"/>
    <ds:schemaRef ds:uri="http://purl.org/dc/dcmitype/"/>
    <ds:schemaRef ds:uri="http://schemas.microsoft.com/office/2006/documentManagement/types"/>
    <ds:schemaRef ds:uri="http://purl.org/dc/elements/1.1/"/>
    <ds:schemaRef ds:uri="http://schemas.microsoft.com/office/2006/metadata/properties"/>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A7F5F3B3-6F15-4D56-8EE6-6F9AEA4F6E6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843bdd22-3fe4-4bc1-a7f9-a2efe7205b8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6F819E1B-A95E-45A5-ADE3-AAEB51FA7B0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26</vt:i4>
      </vt:variant>
    </vt:vector>
  </HeadingPairs>
  <TitlesOfParts>
    <vt:vector size="33" baseType="lpstr">
      <vt:lpstr>Tracker</vt:lpstr>
      <vt:lpstr>List</vt:lpstr>
      <vt:lpstr>Asset Reference</vt:lpstr>
      <vt:lpstr>Colors</vt:lpstr>
      <vt:lpstr>Sheet2</vt:lpstr>
      <vt:lpstr>Outages</vt:lpstr>
      <vt:lpstr>Sheet3</vt:lpstr>
      <vt:lpstr>al_assetname_hdr</vt:lpstr>
      <vt:lpstr>al_country_hdr</vt:lpstr>
      <vt:lpstr>al_type_hdr</vt:lpstr>
      <vt:lpstr>al_unit_hdr</vt:lpstr>
      <vt:lpstr>FullList</vt:lpstr>
      <vt:lpstr>labels</vt:lpstr>
      <vt:lpstr>list_duration_hdr</vt:lpstr>
      <vt:lpstr>list_enddate_hdr</vt:lpstr>
      <vt:lpstr>list_outageid_hdr</vt:lpstr>
      <vt:lpstr>list_outagename_hdr</vt:lpstr>
      <vt:lpstr>list_outagetype_hdr</vt:lpstr>
      <vt:lpstr>list_scope_hdr</vt:lpstr>
      <vt:lpstr>list_site_hdr</vt:lpstr>
      <vt:lpstr>list_startdate_hdr</vt:lpstr>
      <vt:lpstr>list_ticinvolvement_hdr</vt:lpstr>
      <vt:lpstr>list_unit_hdr</vt:lpstr>
      <vt:lpstr>month_start</vt:lpstr>
      <vt:lpstr>Tracker!Print_Area</vt:lpstr>
      <vt:lpstr>project_list</vt:lpstr>
      <vt:lpstr>ThreeYears</vt:lpstr>
      <vt:lpstr>ThreeYearstoTwenty</vt:lpstr>
      <vt:lpstr>tracker_country_hdr</vt:lpstr>
      <vt:lpstr>tracker_start</vt:lpstr>
      <vt:lpstr>tracker_type_hdr</vt:lpstr>
      <vt:lpstr>tracker_unit_hdr</vt:lpstr>
      <vt:lpstr>year_row</vt:lpstr>
    </vt:vector>
  </TitlesOfParts>
  <Manager/>
  <Company>Toshiba International Corporation Pty Ltd</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Outage Tracker</dc:title>
  <dc:subject/>
  <dc:creator>Rowan Evans</dc:creator>
  <cp:keywords/>
  <dc:description/>
  <cp:lastModifiedBy>Theodore Xavier</cp:lastModifiedBy>
  <cp:revision/>
  <dcterms:created xsi:type="dcterms:W3CDTF">2017-08-31T03:58:15Z</dcterms:created>
  <dcterms:modified xsi:type="dcterms:W3CDTF">2019-11-05T06:24:29Z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0x0101002A22132FFF2F4F41B88BFBBA79FB96A3</vt:lpwstr>
  </property>
  <property fmtid="{D5CDD505-2E9C-101B-9397-08002B2CF9AE}" pid="3" name="_dlc_DocIdItemGuid">
    <vt:lpwstr>ee98d1e1-654f-4473-9a2d-b6a8b6337970</vt:lpwstr>
  </property>
  <property fmtid="{D5CDD505-2E9C-101B-9397-08002B2CF9AE}" pid="4" name="EDMSDivision">
    <vt:lpwstr>2;#ESS - Energy Systems and Solutions|f2491514-1e39-47ee-9688-f3032245bf76</vt:lpwstr>
  </property>
  <property fmtid="{D5CDD505-2E9C-101B-9397-08002B2CF9AE}" pid="5" name="EDMSDocumentType">
    <vt:lpwstr>182;#GLST - General List|609e24b0-9ebe-4943-8a70-d4fb14868729</vt:lpwstr>
  </property>
  <property fmtid="{D5CDD505-2E9C-101B-9397-08002B2CF9AE}" pid="6" name="EDMSFunction">
    <vt:lpwstr/>
  </property>
  <property fmtid="{D5CDD505-2E9C-101B-9397-08002B2CF9AE}" pid="7" name="EdmsDepartment">
    <vt:lpwstr>120;#SPA - Spare Parts|bf4050ed-85c7-4d5f-8109-1ed45a9f5de3</vt:lpwstr>
  </property>
  <property fmtid="{D5CDD505-2E9C-101B-9397-08002B2CF9AE}" pid="8" name="Supplier">
    <vt:lpwstr>109;#NOT APPLICABLE|4a8d1203-30a4-4471-a8ff-c0020102cd90</vt:lpwstr>
  </property>
  <property fmtid="{D5CDD505-2E9C-101B-9397-08002B2CF9AE}" pid="9" name="Customer">
    <vt:lpwstr>111;#NOT APPLICABLE|c6b2090d-f281-4775-b8a4-b237ee5c1db1</vt:lpwstr>
  </property>
</Properties>
</file>